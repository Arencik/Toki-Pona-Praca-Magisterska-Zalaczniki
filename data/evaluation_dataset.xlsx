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F:\magisterka informatyka\kod\data\"/>
    </mc:Choice>
  </mc:AlternateContent>
  <xr:revisionPtr revIDLastSave="0" documentId="13_ncr:1_{4003A15D-C77E-42D4-8E1D-07C189F43B1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5" i="1"/>
  <c r="S7" i="1"/>
  <c r="S8" i="1"/>
  <c r="S10" i="1"/>
  <c r="S12" i="1"/>
  <c r="S13" i="1"/>
  <c r="S15" i="1"/>
  <c r="S17" i="1"/>
  <c r="S18" i="1"/>
  <c r="S20" i="1"/>
  <c r="S25" i="1"/>
  <c r="S26" i="1"/>
  <c r="S27" i="1"/>
  <c r="S31" i="1"/>
  <c r="S33" i="1"/>
  <c r="S37" i="1"/>
  <c r="S39" i="1"/>
  <c r="S40" i="1"/>
  <c r="S42" i="1"/>
  <c r="S45" i="1"/>
  <c r="S46" i="1"/>
  <c r="S48" i="1"/>
  <c r="S51" i="1"/>
  <c r="S53" i="1"/>
  <c r="S54" i="1"/>
  <c r="S55" i="1"/>
  <c r="S56" i="1"/>
  <c r="S60" i="1"/>
  <c r="S61" i="1"/>
  <c r="S62" i="1"/>
  <c r="S65" i="1"/>
  <c r="S67" i="1"/>
  <c r="S68" i="1"/>
  <c r="S70" i="1"/>
  <c r="S71" i="1"/>
  <c r="S75" i="1"/>
  <c r="S76" i="1"/>
  <c r="S77" i="1"/>
  <c r="S78" i="1"/>
  <c r="S81" i="1"/>
  <c r="S84" i="1"/>
  <c r="S86" i="1"/>
  <c r="S87" i="1"/>
  <c r="S90" i="1"/>
  <c r="S91" i="1"/>
  <c r="S92" i="1"/>
  <c r="S93" i="1"/>
  <c r="S94" i="1"/>
  <c r="S99" i="1"/>
  <c r="S100" i="1"/>
  <c r="S101" i="1"/>
  <c r="J81" i="1"/>
  <c r="J71" i="1"/>
  <c r="J74" i="1"/>
  <c r="J77" i="1"/>
  <c r="J78" i="1"/>
  <c r="J82" i="1"/>
  <c r="J83" i="1"/>
  <c r="J84" i="1"/>
  <c r="J85" i="1"/>
  <c r="J88" i="1"/>
  <c r="J89" i="1"/>
  <c r="J90" i="1"/>
  <c r="J94" i="1"/>
  <c r="J101" i="1"/>
  <c r="J60" i="1"/>
  <c r="J61" i="1"/>
  <c r="J63" i="1"/>
  <c r="J65" i="1"/>
  <c r="J66" i="1"/>
  <c r="J68" i="1"/>
  <c r="J26" i="1"/>
  <c r="J27" i="1"/>
  <c r="J28" i="1"/>
  <c r="J31" i="1"/>
  <c r="J37" i="1"/>
  <c r="J40" i="1"/>
  <c r="J41" i="1"/>
  <c r="J45" i="1"/>
  <c r="J47" i="1"/>
  <c r="J50" i="1"/>
  <c r="J51" i="1"/>
</calcChain>
</file>

<file path=xl/sharedStrings.xml><?xml version="1.0" encoding="utf-8"?>
<sst xmlns="http://schemas.openxmlformats.org/spreadsheetml/2006/main" count="990" uniqueCount="703">
  <si>
    <t>EN</t>
  </si>
  <si>
    <t>TP</t>
  </si>
  <si>
    <t>pred_s_3</t>
  </si>
  <si>
    <t>ocena_s_3</t>
  </si>
  <si>
    <t>pred_s_6</t>
  </si>
  <si>
    <t>ocena_s_6</t>
  </si>
  <si>
    <t>pred_f_3</t>
  </si>
  <si>
    <t>ocena_f_3</t>
  </si>
  <si>
    <t>pred_f_6</t>
  </si>
  <si>
    <t>ocena_f_6</t>
  </si>
  <si>
    <t>Attaboy!</t>
  </si>
  <si>
    <t>pona a!</t>
  </si>
  <si>
    <t>jan pona a!</t>
  </si>
  <si>
    <t>o pona!</t>
  </si>
  <si>
    <t>o pana e pona tawa jan Ton.</t>
  </si>
  <si>
    <t>jan Sami o!</t>
  </si>
  <si>
    <t>I'll go to work.</t>
  </si>
  <si>
    <t>mi tawa pali.</t>
  </si>
  <si>
    <t>mi tawa tomo ni.</t>
  </si>
  <si>
    <t>mi tawa tomo pali ni.</t>
  </si>
  <si>
    <t>Go sleep!</t>
  </si>
  <si>
    <t>o tawa lape!</t>
  </si>
  <si>
    <t>o awen</t>
  </si>
  <si>
    <t>o lape a!</t>
  </si>
  <si>
    <t>Who helps her?</t>
  </si>
  <si>
    <t>jan seme li wile pana e pona tawa ona?</t>
  </si>
  <si>
    <t>jan seme li pana e pona tawa sina?</t>
  </si>
  <si>
    <t>jan seme li pana e pona tawa ona?</t>
  </si>
  <si>
    <t>I'm a drug addict.</t>
  </si>
  <si>
    <t>mi wile wawa e ilo nasa.</t>
  </si>
  <si>
    <t>mi jan pi pona mute</t>
  </si>
  <si>
    <t>mi jan pi moku ike tawa mi.</t>
  </si>
  <si>
    <t>mi ken ala pana e pona tawa mi.</t>
  </si>
  <si>
    <t>mi jan pi moku ala e ilo nasa.</t>
  </si>
  <si>
    <t>Who's going to drive?</t>
  </si>
  <si>
    <t>jan seme li lawa e tomo tawa?</t>
  </si>
  <si>
    <t>jan seme li tawa tomo tawa seme?</t>
  </si>
  <si>
    <t>jan seme li tawa e tomo tawa.</t>
  </si>
  <si>
    <t>jan seme li tawa tomo tawa anu seme?</t>
  </si>
  <si>
    <t>jan seme li lawa e tomo tawa sina?</t>
  </si>
  <si>
    <t>Why don't we stay home?</t>
  </si>
  <si>
    <t>mi mute li awen ala lon tomo tan seme?</t>
  </si>
  <si>
    <t>mi mute li awen ala lon seme?</t>
  </si>
  <si>
    <t>mi awen li awen ala lon tomo tan seme?</t>
  </si>
  <si>
    <t>tan seme la mi awen ala lon tomo seme?</t>
  </si>
  <si>
    <t>What is the color of the cheese?</t>
  </si>
  <si>
    <t>ko pi telo walo li jo e kule seme?</t>
  </si>
  <si>
    <t>kili li seme?</t>
  </si>
  <si>
    <t>kule pi telo nasa li seme?</t>
  </si>
  <si>
    <t>soweli li seme? e seme?</t>
  </si>
  <si>
    <t>kule li kule e kule seme?</t>
  </si>
  <si>
    <t>You eat rice.</t>
  </si>
  <si>
    <t>sina moku e pan walo.</t>
  </si>
  <si>
    <t>sina moku e pan.</t>
  </si>
  <si>
    <t>Have you brought the book?</t>
  </si>
  <si>
    <t>sina kama ala kama e lipu sona?</t>
  </si>
  <si>
    <t>sina pana ala pana e lipu tawa sina?</t>
  </si>
  <si>
    <t>When do you work?</t>
  </si>
  <si>
    <t>sina pali lon tenpo seme?</t>
  </si>
  <si>
    <t>tenpo seme la sina pali e seme?</t>
  </si>
  <si>
    <t>tenpo seme la sina pali lon tenpo seme?</t>
  </si>
  <si>
    <t>You didn't see anything.</t>
  </si>
  <si>
    <t>tenpo pini la, sina lukin ala e ijo.</t>
  </si>
  <si>
    <t>sina lukin ala e ni.</t>
  </si>
  <si>
    <t>sina lukin ala e ijo.</t>
  </si>
  <si>
    <t>They had built roads and bridges.</t>
  </si>
  <si>
    <t>jan li pali e nasin e nasin pi noka suli.</t>
  </si>
  <si>
    <t>ona li pali e tomo tawa e tomo tawa e tomo tawa e linja lon nasin</t>
  </si>
  <si>
    <t>ona li pali e nasin e nasin pi nasin suli.</t>
  </si>
  <si>
    <t>ona mute li pali e tomo tawa lon tenpo</t>
  </si>
  <si>
    <t>ona mute li pali e nasin e nasin pi nasin suli.</t>
  </si>
  <si>
    <t>What does he intend to do?</t>
  </si>
  <si>
    <t>ona li wile pali e seme?</t>
  </si>
  <si>
    <t>I'm going to be old some day, too.</t>
  </si>
  <si>
    <t>tenpo kama la mi kin li majuna.</t>
  </si>
  <si>
    <t>tenpo suno kama la mi kama lon tenpo tenpo</t>
  </si>
  <si>
    <t>tenpo suno kama la mi kama lon tenpo sin.</t>
  </si>
  <si>
    <t>tenpo suno kama la mi kama jo e tenpo</t>
  </si>
  <si>
    <t>tenpo suno kama la mi jo e sike sin.</t>
  </si>
  <si>
    <t>They're vegan.</t>
  </si>
  <si>
    <t>ona mute li jo ala e ijo soweli.</t>
  </si>
  <si>
    <t>ona mute li soweli</t>
  </si>
  <si>
    <t>ona mute li jo e ilo moku lon esun.</t>
  </si>
  <si>
    <t>ona mute li moku e soweli</t>
  </si>
  <si>
    <t>ona mute li moku ala e soweli.</t>
  </si>
  <si>
    <t>Many people don’t know this.</t>
  </si>
  <si>
    <t>jan mute li sona ala e ni.</t>
  </si>
  <si>
    <t>Guys, I gotta go.</t>
  </si>
  <si>
    <t>jan o, mi wile tawa weka.</t>
  </si>
  <si>
    <t>jan lili li moku e ona.</t>
  </si>
  <si>
    <t>mije o, mi kama tawa.</t>
  </si>
  <si>
    <t>jan Ton mi kama jo e jan Ton.</t>
  </si>
  <si>
    <t>jan o! o, mi kama.</t>
  </si>
  <si>
    <t>They stayed with their families.</t>
  </si>
  <si>
    <t>ona li awen lon kulupu mama ona.</t>
  </si>
  <si>
    <t>ona mute li awen lon poka ona.</t>
  </si>
  <si>
    <t>ona li awen lon poka pi kulupu mama ona.</t>
  </si>
  <si>
    <t>You recovered.</t>
  </si>
  <si>
    <t>sijelo sina li kama pona.</t>
  </si>
  <si>
    <t>sina awen</t>
  </si>
  <si>
    <t>sina kama moli.</t>
  </si>
  <si>
    <t>sina kama pakala.</t>
  </si>
  <si>
    <t>She decorated the wall with pictures.</t>
  </si>
  <si>
    <t>ona li pana e sitelen lon sinpin.</t>
  </si>
  <si>
    <t>ona li pona e lipu</t>
  </si>
  <si>
    <t>ona li pona e supa lon supa.</t>
  </si>
  <si>
    <t>The road is poorly maintained.</t>
  </si>
  <si>
    <t>jan li awen ala pona e nasin.</t>
  </si>
  <si>
    <t>tomo tawa li pona mute</t>
  </si>
  <si>
    <t>jan li ken ala awen e nasin lon nasin ni.</t>
  </si>
  <si>
    <t>nasin li ken ala awen e nasin ni.</t>
  </si>
  <si>
    <t>Whose dress is this?</t>
  </si>
  <si>
    <t>jan seme li jo e len meli ni?</t>
  </si>
  <si>
    <t>len ni li jan seme?</t>
  </si>
  <si>
    <t>len pi jan seme li seme?</t>
  </si>
  <si>
    <t>len ni li seme?</t>
  </si>
  <si>
    <t>I live in a town.</t>
  </si>
  <si>
    <t>mi jo e tomo lon ma tomo.</t>
  </si>
  <si>
    <t>mi lon ma tomo ni.</t>
  </si>
  <si>
    <t>mi lon ma tomo Pasen.</t>
  </si>
  <si>
    <t>mi awen lon ma tomo.</t>
  </si>
  <si>
    <t>Why doesn't anybody help me?</t>
  </si>
  <si>
    <t>jan ala li pana e pona tawa mi tan seme?</t>
  </si>
  <si>
    <t>jan ala li pana e pona tawa mi?</t>
  </si>
  <si>
    <t>Why are you so busy?</t>
  </si>
  <si>
    <t>sina pali mute mute tan seme?</t>
  </si>
  <si>
    <t>tan seme la sina pali tan seme?</t>
  </si>
  <si>
    <t>sina pali mute tan seme?</t>
  </si>
  <si>
    <t>tan seme la sina pali e seme?</t>
  </si>
  <si>
    <t>I want to eat a mango.</t>
  </si>
  <si>
    <t>mi wile moku e kili.</t>
  </si>
  <si>
    <t>mi wile moku e soweli</t>
  </si>
  <si>
    <t>mi wile moku e soweli.</t>
  </si>
  <si>
    <t>He especially likes swimming.</t>
  </si>
  <si>
    <t>suli la tawa lon telo li pona tawa ona.</t>
  </si>
  <si>
    <t>ona li pona tawa mi.</t>
  </si>
  <si>
    <t>telo tawa li pona tawa ona.</t>
  </si>
  <si>
    <t>telo li pona tawa mi.</t>
  </si>
  <si>
    <t>ona li tawa lon telo la ona li pona tawa ona.</t>
  </si>
  <si>
    <t>It's shaped like an octagon.</t>
  </si>
  <si>
    <t>sijelo ona li sama sitelen pi linja luka tu wan.</t>
  </si>
  <si>
    <t>ona li jo e ilo tawa lon poka pi wawa mute.</t>
  </si>
  <si>
    <t>ona li sama ilo kalama pi linja nimi tu.</t>
  </si>
  <si>
    <t>ona li sama ilo tawa ona.</t>
  </si>
  <si>
    <t>ona li sama ilo linja pi sike lili.</t>
  </si>
  <si>
    <t>I hate garlic.</t>
  </si>
  <si>
    <t>kili namako li ike mute tawa mi.</t>
  </si>
  <si>
    <t>kili li ike tawa mi.</t>
  </si>
  <si>
    <t>kili li ike mute tawa mi.</t>
  </si>
  <si>
    <t>kili loje li ike mute tawa mi.</t>
  </si>
  <si>
    <t>Have things changed since then?</t>
  </si>
  <si>
    <t>ijo li kama ante tan tenpo ni anu seme?</t>
  </si>
  <si>
    <t>ijo li kama ante lon tenpo ni.</t>
  </si>
  <si>
    <t>ijo li kama ante la ijo li kama ante.</t>
  </si>
  <si>
    <t>ijo li ante ala ante e ijo lon tenpo</t>
  </si>
  <si>
    <t>ijo li ante la ijo li kama ante anu seme?</t>
  </si>
  <si>
    <t>Try and do it.</t>
  </si>
  <si>
    <t>o lukin pali e ni.</t>
  </si>
  <si>
    <t>o awen e ni.</t>
  </si>
  <si>
    <t>o lukin o pali e ni.</t>
  </si>
  <si>
    <t>o lukin e ni.</t>
  </si>
  <si>
    <t>Look at those fish in the pond.</t>
  </si>
  <si>
    <t>o lukin e kala lon telo.</t>
  </si>
  <si>
    <t>o lukin e kala ni lon telo.</t>
  </si>
  <si>
    <t>o lukin e kala ni lon supa</t>
  </si>
  <si>
    <t>It feels like my mouth is on fire.</t>
  </si>
  <si>
    <t>insa uta mi li seli pilin mute.</t>
  </si>
  <si>
    <t>ona li pilin e telo nasa mi li lon telo.</t>
  </si>
  <si>
    <t>ona li pilin e ni: telo mi li lon telo.</t>
  </si>
  <si>
    <t>ona li pilin e telo nasa mi.</t>
  </si>
  <si>
    <t>ona li pilin e ni: mi seli e telo.</t>
  </si>
  <si>
    <t>I am to your left.</t>
  </si>
  <si>
    <t>mi lon poka pilin sina.</t>
  </si>
  <si>
    <t>mi tawa weka tan ni:</t>
  </si>
  <si>
    <t>mi tawa poka sina.</t>
  </si>
  <si>
    <t>mi tawa lon poka sina.</t>
  </si>
  <si>
    <t>mi lon poka sina.</t>
  </si>
  <si>
    <t>She loves sex.</t>
  </si>
  <si>
    <t>unpa li pona mute tawa ona.</t>
  </si>
  <si>
    <t>ona li olin e ona.</t>
  </si>
  <si>
    <t>ona li pona mute tawa ona.</t>
  </si>
  <si>
    <t>The city was under siege.</t>
  </si>
  <si>
    <t>jan utala li utala sike e ma tomo.</t>
  </si>
  <si>
    <t>ma tomo li lon insa pi ma tomo.</t>
  </si>
  <si>
    <t>jan li pakala e ma tomo pi ma tomo.</t>
  </si>
  <si>
    <t>ma tomo lawa pi ma tomo lawa li weka e ni:</t>
  </si>
  <si>
    <t>jan li utala e ma tomo suli.</t>
  </si>
  <si>
    <t>I like to cook.</t>
  </si>
  <si>
    <t>seli moku li pona tawa mi.</t>
  </si>
  <si>
    <t>moku li pona tawa mi.</t>
  </si>
  <si>
    <t>seli li pona tawa mi.</t>
  </si>
  <si>
    <t>I am funny.</t>
  </si>
  <si>
    <t>mi musi.</t>
  </si>
  <si>
    <t>mi pilin</t>
  </si>
  <si>
    <t>I've drunk three beers already.</t>
  </si>
  <si>
    <t>mi moku e telo nasa pan tu wan.</t>
  </si>
  <si>
    <t>tenpo suno ni la mi moku e telo nasa tu wan.</t>
  </si>
  <si>
    <t>tenpo ni la mi moku e telo nasa tu wan.</t>
  </si>
  <si>
    <t>tenpo suno ni la mi weka e jan lili tu wan.</t>
  </si>
  <si>
    <t>Eat!</t>
  </si>
  <si>
    <t>o moku!</t>
  </si>
  <si>
    <t>o moku a!</t>
  </si>
  <si>
    <t>We'll attack.</t>
  </si>
  <si>
    <t>mi utala.</t>
  </si>
  <si>
    <t>mi mute</t>
  </si>
  <si>
    <t>mi mute li utala.</t>
  </si>
  <si>
    <t>mi mute li moli ala.</t>
  </si>
  <si>
    <t>mi utala li utala.</t>
  </si>
  <si>
    <t>Have you been busy recently?</t>
  </si>
  <si>
    <t>tenpo pini poka la sina pali anu seme?</t>
  </si>
  <si>
    <t>tenpo ni la sina pali ala pali e seme?</t>
  </si>
  <si>
    <t>tenpo pini pini la sina pali ala pali e ni?</t>
  </si>
  <si>
    <t>tenpo pini la sina pali ala pali e ni.</t>
  </si>
  <si>
    <t>tenpo pini la sina pali ala pali e ni?</t>
  </si>
  <si>
    <t>Don't move, please.</t>
  </si>
  <si>
    <t>o tawa ala.</t>
  </si>
  <si>
    <t>o tawa ala lon tenpo</t>
  </si>
  <si>
    <t>We enjoyed that.</t>
  </si>
  <si>
    <t>ni li pona tawa mi.</t>
  </si>
  <si>
    <t>mi mute li pona tawa mi.</t>
  </si>
  <si>
    <t>mi mute li pona mute tawa mi.</t>
  </si>
  <si>
    <t>ni li pona tawa mi mute.</t>
  </si>
  <si>
    <t>How much money do you want to earn?</t>
  </si>
  <si>
    <t>sina wile alasa e mani pi mute seme kepeken pali?</t>
  </si>
  <si>
    <t>sina wile pali e mani seme?</t>
  </si>
  <si>
    <t>sina wile pana e mani pi mute seme?</t>
  </si>
  <si>
    <t>sina wile e mani mute</t>
  </si>
  <si>
    <t>sina wile kama jo e mani pi mute seme?</t>
  </si>
  <si>
    <t>I kind of hope it doesn't rain.</t>
  </si>
  <si>
    <t>mi wile e ni: telo sewi li kama ala.</t>
  </si>
  <si>
    <t>mi pilin e ni: ona li ken ala moli ala.</t>
  </si>
  <si>
    <t>mi wile e ni: telo li kama ala lon telo.</t>
  </si>
  <si>
    <t>mi wile e ni: ona li lon ala.</t>
  </si>
  <si>
    <t>mi wile e ni: telo li kama tan sewi.</t>
  </si>
  <si>
    <t>Are these for sale?</t>
  </si>
  <si>
    <t>sina esun ala esun e ni?</t>
  </si>
  <si>
    <t>ni li lon anu seme?</t>
  </si>
  <si>
    <t>ni li ike tawa sina anu seme?</t>
  </si>
  <si>
    <t>ni li ijo ni anu seme?</t>
  </si>
  <si>
    <t>ni li tawa musi anu seme?</t>
  </si>
  <si>
    <t>Delete?</t>
  </si>
  <si>
    <t>o weka ala weka?</t>
  </si>
  <si>
    <t>o pona.</t>
  </si>
  <si>
    <t>o open.</t>
  </si>
  <si>
    <t>jan Sami</t>
  </si>
  <si>
    <t>o awen.</t>
  </si>
  <si>
    <t>Why is that important to you?</t>
  </si>
  <si>
    <t>ni li suli tawa sina tan seme?</t>
  </si>
  <si>
    <t>ni li pona tawa sina tan seme?</t>
  </si>
  <si>
    <t>tan seme la ni li pona tawa sina?</t>
  </si>
  <si>
    <t>I ask for help from you.</t>
  </si>
  <si>
    <t>mi wile e ni: sina pana e pona tawa mi.</t>
  </si>
  <si>
    <t>mi toki e pona tawa sina.</t>
  </si>
  <si>
    <t>mi toki e ni tawa mi: mi pana e pona tawa sina.</t>
  </si>
  <si>
    <t>mi toki e ni tawa sina.</t>
  </si>
  <si>
    <t>mi toki e ni tawa mi: mi wile pana e pona tawa sina.</t>
  </si>
  <si>
    <t>Their face went red.</t>
  </si>
  <si>
    <t>sinpin ona li kama loje.</t>
  </si>
  <si>
    <t>luka ona li kama.</t>
  </si>
  <si>
    <t>luka ona li kama loje.</t>
  </si>
  <si>
    <t>sinpin ona li kama laso.</t>
  </si>
  <si>
    <t>Listen to her!</t>
  </si>
  <si>
    <t>o kute e ona.</t>
  </si>
  <si>
    <t>o lukin e ona.</t>
  </si>
  <si>
    <t>o kute e sina!</t>
  </si>
  <si>
    <t>o kute e ona!</t>
  </si>
  <si>
    <t>How do you know me?</t>
  </si>
  <si>
    <t>sina sona e mi tan seme?</t>
  </si>
  <si>
    <t>nasin seme la sina sona e mi?</t>
  </si>
  <si>
    <t>Water is important for people.</t>
  </si>
  <si>
    <t>telo li suli tawa jan.</t>
  </si>
  <si>
    <t>telo li pona mute tawa jan mute.</t>
  </si>
  <si>
    <t>telo li suli tawa jan mute.</t>
  </si>
  <si>
    <t>telo li pona mute tawa jan ante.</t>
  </si>
  <si>
    <t>He was paralyzed with terror.</t>
  </si>
  <si>
    <t>ona li ken ala tawa tan pilin monsuta.</t>
  </si>
  <si>
    <t>ona li pilin ike tawa ona.</t>
  </si>
  <si>
    <t>ona li ken ala tawa weka tan utala ike.</t>
  </si>
  <si>
    <t>ona li pana e pilin ike tawa ona.</t>
  </si>
  <si>
    <t>ona li pilin ike tan utala utala.</t>
  </si>
  <si>
    <t>Have you ever thought about moving?</t>
  </si>
  <si>
    <t>sina wile ala wile ante e tomo sina?</t>
  </si>
  <si>
    <t>tenpo ala la sina pilin e ni:</t>
  </si>
  <si>
    <t>tenpo pini la sina pilin ala pilin tawa sina?</t>
  </si>
  <si>
    <t>sina pilin ala wile e ni: lon tenpo anu seme?</t>
  </si>
  <si>
    <t>I want a sample.</t>
  </si>
  <si>
    <t>mi wile e kipisi.</t>
  </si>
  <si>
    <t>mi wile e lipu</t>
  </si>
  <si>
    <t>mi wile e lipu.</t>
  </si>
  <si>
    <t>She died.</t>
  </si>
  <si>
    <t>ona li moli.</t>
  </si>
  <si>
    <t>ona li moli ala.</t>
  </si>
  <si>
    <t>Where is my pencil?</t>
  </si>
  <si>
    <t>ilo sitelen mi li lon seme?</t>
  </si>
  <si>
    <t>I am going, too.</t>
  </si>
  <si>
    <t>mi tawa kin.</t>
  </si>
  <si>
    <t>mi tawa ni.</t>
  </si>
  <si>
    <t>mi tawa weka.</t>
  </si>
  <si>
    <t>mi tawa mi.</t>
  </si>
  <si>
    <t>mi tawa.</t>
  </si>
  <si>
    <t>You're totally ignorant.</t>
  </si>
  <si>
    <t>sina wile ala sona.</t>
  </si>
  <si>
    <t>sina pilin ala.</t>
  </si>
  <si>
    <t>sina sona ala e ni:</t>
  </si>
  <si>
    <t>sina pilin ala e ni:</t>
  </si>
  <si>
    <t>This will be a great opportunity.</t>
  </si>
  <si>
    <t>ni li tenpo pi pona mute.</t>
  </si>
  <si>
    <t>ni li pali pona mute.</t>
  </si>
  <si>
    <t>ni li ijo pi pona mute.</t>
  </si>
  <si>
    <t>What happened to me?</t>
  </si>
  <si>
    <t>seme li kama tawa mi?</t>
  </si>
  <si>
    <t>ni li kama tan seme?</t>
  </si>
  <si>
    <t>tenpo li kama tawa mi.</t>
  </si>
  <si>
    <t>You guys eat rice.</t>
  </si>
  <si>
    <t>sina mute li moku e pan.</t>
  </si>
  <si>
    <t>sina moku e pan suwi.</t>
  </si>
  <si>
    <t>Turn right.</t>
  </si>
  <si>
    <t>o tawa poka lawa.</t>
  </si>
  <si>
    <t>o tawa lon tenpo</t>
  </si>
  <si>
    <t>o tawa lon poka pi nasin suli.</t>
  </si>
  <si>
    <t>o tawa lon ni.</t>
  </si>
  <si>
    <t>Cool!</t>
  </si>
  <si>
    <t>epiku!</t>
  </si>
  <si>
    <t>o pona lukin.</t>
  </si>
  <si>
    <t>I'm angry and also tired.</t>
  </si>
  <si>
    <t>mi pilin utala. sin la mi wile lape.</t>
  </si>
  <si>
    <t>mi pilin ike tan pilin mi pilin pilin</t>
  </si>
  <si>
    <t>mi pilin pilin li pilin lape.</t>
  </si>
  <si>
    <t>mi pilin ike tan ni: ona li pilin ike.</t>
  </si>
  <si>
    <t>mi pilin utala li pilin lape.</t>
  </si>
  <si>
    <t>These girls are not speaking but singing.</t>
  </si>
  <si>
    <t>meli lili ni li toki ala li kalama musi uta.</t>
  </si>
  <si>
    <t>meli ni li toki ala tawa meli ni li kalama musi ala.</t>
  </si>
  <si>
    <t>meli lili ni li toki ala li kalama musi ala.</t>
  </si>
  <si>
    <t>meli ni li toki ala e kalama musi ni li kalama musi ala.</t>
  </si>
  <si>
    <t>meli lili ni li toki ala taso meli ni li kalama musi.</t>
  </si>
  <si>
    <t>I didn't know that you wrote poems.</t>
  </si>
  <si>
    <t>mi sona ala e ni: sina sitelen e toki musi.</t>
  </si>
  <si>
    <t>mi sona ala e ni: sina toki e ni:</t>
  </si>
  <si>
    <t>mi sona ala e ni: sina sitelen e lipu</t>
  </si>
  <si>
    <t>You must study hard.</t>
  </si>
  <si>
    <t>sina wile kama sona wawa.</t>
  </si>
  <si>
    <t>sina wile kama sona</t>
  </si>
  <si>
    <t>sina wile kama sona pona mute.</t>
  </si>
  <si>
    <t>sina wile kama sona mute.</t>
  </si>
  <si>
    <t>Frogs eat insects.</t>
  </si>
  <si>
    <t>akesi li moku e pipi.</t>
  </si>
  <si>
    <t>soweli li moku e soweli</t>
  </si>
  <si>
    <t>soweli li moku e pipi nasa.</t>
  </si>
  <si>
    <t>soweli lili li moku e pipi.</t>
  </si>
  <si>
    <t>How many onions?</t>
  </si>
  <si>
    <t>sina wile e kili pi mute seme?</t>
  </si>
  <si>
    <t>kili mute li seme?</t>
  </si>
  <si>
    <t>kili pi mute seme li seme?</t>
  </si>
  <si>
    <t>kili pi mute mute li seme?</t>
  </si>
  <si>
    <t>I have got a question.</t>
  </si>
  <si>
    <t>mi wile sona e ijo.</t>
  </si>
  <si>
    <t>mi wile e pilin</t>
  </si>
  <si>
    <t>mi wile e ni:</t>
  </si>
  <si>
    <t>mi jo e pilin</t>
  </si>
  <si>
    <t>mi jo e wile sona sona.</t>
  </si>
  <si>
    <t>I don't know what's real.</t>
  </si>
  <si>
    <t>mi sona ala e ni: seme li lon?</t>
  </si>
  <si>
    <t>mi sona ala e ni:</t>
  </si>
  <si>
    <t>mi sona ala e ni: li lon.</t>
  </si>
  <si>
    <t>mi sona ala e ni: seme li lon.</t>
  </si>
  <si>
    <t>I agree.</t>
  </si>
  <si>
    <t>mi pilin sama.</t>
  </si>
  <si>
    <t>mi pilin pona.</t>
  </si>
  <si>
    <t>Machines don't think.</t>
  </si>
  <si>
    <t>ilo li pilin ala.</t>
  </si>
  <si>
    <t>jan li pilin ala e ni:</t>
  </si>
  <si>
    <t>Is that a possibility?</t>
  </si>
  <si>
    <t>ni li ken ala ken?</t>
  </si>
  <si>
    <t>ni li pona anu seme?</t>
  </si>
  <si>
    <t>ni li ken ala ken pona?</t>
  </si>
  <si>
    <t>ni li ken ala pona tawa sina?</t>
  </si>
  <si>
    <t>ni li ken ala ken kama?</t>
  </si>
  <si>
    <t>I like to talk about love.</t>
  </si>
  <si>
    <t>mi toki lon olin la ni li pona tawa mi.</t>
  </si>
  <si>
    <t>toki pona li pona tawa mi.</t>
  </si>
  <si>
    <t>toki olin li pona tawa mi.</t>
  </si>
  <si>
    <t>toki li pona tawa mi.</t>
  </si>
  <si>
    <t>Let's not talk about that now.</t>
  </si>
  <si>
    <t>tenpo ni la mi mute o toki ala ni.</t>
  </si>
  <si>
    <t>mi mute ala toki e ni lon tenpo ni.</t>
  </si>
  <si>
    <t>mi mute o toki ala e ni lon tenpo ni.</t>
  </si>
  <si>
    <t>tenpo ni la mi o toki ala e ni.</t>
  </si>
  <si>
    <t>But I didn't draw a hat.</t>
  </si>
  <si>
    <t>taso mi sitelen ala e len lawa.</t>
  </si>
  <si>
    <t>mi pali ala e len ona.</t>
  </si>
  <si>
    <t>tenpo lawa mi li sitelen ala e len lawa mi.</t>
  </si>
  <si>
    <t>mi pana ala e len tawa mi.</t>
  </si>
  <si>
    <t>taso mi sitelen ala e len lawa mi.</t>
  </si>
  <si>
    <t>I find your arguments illogical.</t>
  </si>
  <si>
    <t>pilin mi la toki sina li jo ala e sona.</t>
  </si>
  <si>
    <t>mi kama sona e toki sina lon lawa sina.</t>
  </si>
  <si>
    <t>mi lukin e ni: toki sina li lon ala.</t>
  </si>
  <si>
    <t>mi kama sona e toki sina.</t>
  </si>
  <si>
    <t>mi lukin e ni: sina toki e lon ala.</t>
  </si>
  <si>
    <t>I thought that you didn't want to come.</t>
  </si>
  <si>
    <t>pilin mi la sina ken ala kama.</t>
  </si>
  <si>
    <t>mi pilin e ni: sina wile ala kama.</t>
  </si>
  <si>
    <t>Awesome!</t>
  </si>
  <si>
    <t>pona!</t>
  </si>
  <si>
    <t>o pona mute.</t>
  </si>
  <si>
    <t>Hey restaurant worker, this container is broken.</t>
  </si>
  <si>
    <t>jan pali pi tomo moku o, poki ni li pakala.</t>
  </si>
  <si>
    <t>jan pi tomo moku ni li jo e tomo moku ni tawa jan pi tomo tawa mi.</t>
  </si>
  <si>
    <t>jan pali pi tomo moku ni li pakala.</t>
  </si>
  <si>
    <t>jan lawa pi tomo moku ni li jo e tomo moku ni tawa jan Ton.</t>
  </si>
  <si>
    <t>I want to ask him something.</t>
  </si>
  <si>
    <t>mi wile toki e wile sona tawa ona.</t>
  </si>
  <si>
    <t>mi wile toki e ijo tawa ona.</t>
  </si>
  <si>
    <t>It's all over.</t>
  </si>
  <si>
    <t>ali li pini.</t>
  </si>
  <si>
    <t>ona li kama.</t>
  </si>
  <si>
    <t>ale li pini.</t>
  </si>
  <si>
    <t>ale li ale.</t>
  </si>
  <si>
    <t>It can bark.</t>
  </si>
  <si>
    <t>ona ken kalama suli.</t>
  </si>
  <si>
    <t>ona li ken moku e telo.</t>
  </si>
  <si>
    <t>ona li ken mu.</t>
  </si>
  <si>
    <t>ona li ken kepeken</t>
  </si>
  <si>
    <t>I know you have it.</t>
  </si>
  <si>
    <t>mi sona e ni: sina jo e ona.</t>
  </si>
  <si>
    <t>I care about you and your family.</t>
  </si>
  <si>
    <t>sina en kulupu mama sina li suli tawa mi.</t>
  </si>
  <si>
    <t>mi wile e ni: mama sina li pona tawa sina.</t>
  </si>
  <si>
    <t>mi olin e sina en kulupu mama sina li pona mute tawa mi.</t>
  </si>
  <si>
    <t>mi olin e sina tawa mi.</t>
  </si>
  <si>
    <t>sina en kulupu mama sina li pona tawa mi.</t>
  </si>
  <si>
    <t>I need to shit.</t>
  </si>
  <si>
    <t>mi wile pana e ko jaki.</t>
  </si>
  <si>
    <t>mi wile</t>
  </si>
  <si>
    <t>mi wile jaki.</t>
  </si>
  <si>
    <t>mi wile e ijo.</t>
  </si>
  <si>
    <t>Cut it.</t>
  </si>
  <si>
    <t>o kipisi e ni.</t>
  </si>
  <si>
    <t>o luka e ona.</t>
  </si>
  <si>
    <t>o pini e ona.</t>
  </si>
  <si>
    <t>o kipisi e ona.</t>
  </si>
  <si>
    <t>This is a very serious problem.</t>
  </si>
  <si>
    <t>ni li ike suli.</t>
  </si>
  <si>
    <t>ni li ike mute.</t>
  </si>
  <si>
    <t>I knew both the writer and the book.</t>
  </si>
  <si>
    <t>mi sona e jan sitelen e lipu.</t>
  </si>
  <si>
    <t>mi sona e lipu jan li sona e lipu</t>
  </si>
  <si>
    <t>mi sona e lipu pi jan sona.</t>
  </si>
  <si>
    <t>mi sona e jan pali e lipu.</t>
  </si>
  <si>
    <t>Thinking hurts.</t>
  </si>
  <si>
    <t>toki insa li pana e pilin ike.</t>
  </si>
  <si>
    <t>o pilin e pilin</t>
  </si>
  <si>
    <t>pilin li pilin ike.</t>
  </si>
  <si>
    <t>o pilin e ni:</t>
  </si>
  <si>
    <t>pilin li pana e pilin ike.</t>
  </si>
  <si>
    <t>A century is one hundred years.</t>
  </si>
  <si>
    <t>tenpo suli ni li sike suno mute.</t>
  </si>
  <si>
    <t>tenpo suno luka tu wan li lon tenpo luka luka luka luka luka luka luka luka luka luka luka luka luka luka luka luka luka luka luka luka luka luka luka luka luka luka luka luka luka luka luka luka luka luka luka luka luka luka luka luka luka luka luka luka luka luka luka luka luka luka luka luka luka</t>
  </si>
  <si>
    <t>tenpo suno ale li sike suno nanpa luka luka luka luka tu.</t>
  </si>
  <si>
    <t>tenpo luka luka luka luka luka luka luka luka luka luka luka luka luka luka luka luka luka luka luka luka luka luka luka luka luka luka luka luka luka luka luka luka luka luka luka luka luka luka luka luka luka luka luka luka luka luka luka luka luka luka luka luka luka luka luka luka luka luka luka luka luka luka</t>
  </si>
  <si>
    <t>sike suno mute li sike suno mute luka luka tu.</t>
  </si>
  <si>
    <t>Cats don't drink tea.</t>
  </si>
  <si>
    <t>soweli li moku ala e telo kasi.</t>
  </si>
  <si>
    <t>soweli li moku ala e telo lili.</t>
  </si>
  <si>
    <t>soweli li moku ala e telo walo.</t>
  </si>
  <si>
    <t>soweli li moku ala e soweli</t>
  </si>
  <si>
    <t>Kiss my ass.</t>
  </si>
  <si>
    <t>o uta e monsi mi.</t>
  </si>
  <si>
    <t>o uta e uta mi.</t>
  </si>
  <si>
    <t>o unpa uta e noka mi.</t>
  </si>
  <si>
    <t>o uta e noka mi.</t>
  </si>
  <si>
    <t>Kitty!</t>
  </si>
  <si>
    <t>soweli pona a!</t>
  </si>
  <si>
    <t>soweli</t>
  </si>
  <si>
    <t>soweli a!</t>
  </si>
  <si>
    <t>soweli pona!</t>
  </si>
  <si>
    <t>It was very cold.</t>
  </si>
  <si>
    <t>lete mute li lon.</t>
  </si>
  <si>
    <t>ona li lete mute.</t>
  </si>
  <si>
    <t>lete mute li lete.</t>
  </si>
  <si>
    <t>komentarz_s_3</t>
  </si>
  <si>
    <t>komentarz_s_6</t>
  </si>
  <si>
    <t>komentarz_f_3</t>
  </si>
  <si>
    <t>komentarz_f_6</t>
  </si>
  <si>
    <t>Znaczenie zgodne</t>
  </si>
  <si>
    <t>"I go to this house"</t>
  </si>
  <si>
    <t>"I go to this workplace"</t>
  </si>
  <si>
    <t>Podwójnie wmocniony rozkaz</t>
  </si>
  <si>
    <t>"Stay!"</t>
  </si>
  <si>
    <t>"Go to stay!"</t>
  </si>
  <si>
    <t>Brak "wile" nie jest problemem, ale pomylona osoba, której dotyczy pomoc</t>
  </si>
  <si>
    <t>Pominięte wile jest akceptowalne</t>
  </si>
  <si>
    <t>"I am a man of multiple good"</t>
  </si>
  <si>
    <t>I am a man of malnutritioning myself</t>
  </si>
  <si>
    <t>I am not able to help myself</t>
  </si>
  <si>
    <t>I am a man who does not eat drugs</t>
  </si>
  <si>
    <t>zgubiony sens</t>
  </si>
  <si>
    <t>Halucynacja z dodaniem sina, ale zdanie ma sens</t>
  </si>
  <si>
    <t>zabrakło "tan", obecnie brzmi "where don't we stay?"</t>
  </si>
  <si>
    <t>halucynacja obok mi gubiąca połowę sensu</t>
  </si>
  <si>
    <t>niepoprawnie gramatyczne, ale poprawne użycie "la"</t>
  </si>
  <si>
    <t>what is the color of alcohol</t>
  </si>
  <si>
    <t>akceptowalne bez "walo", pan to też ryż. pan walo to biały ryż</t>
  </si>
  <si>
    <t>"have you brought the book to you"</t>
  </si>
  <si>
    <t>niepotrzebne powtórzenie</t>
  </si>
  <si>
    <t>niepoprawne gramatycznie, użycia "la"</t>
  </si>
  <si>
    <t>Znaczeniowo się zgadza: "you didn't see this"</t>
  </si>
  <si>
    <t>"You didn't see thing"</t>
  </si>
  <si>
    <t>zbyt duża halucynacja</t>
  </si>
  <si>
    <t>"They eat animals" brakuje przeczenia</t>
  </si>
  <si>
    <t>They don't eat animals</t>
  </si>
  <si>
    <t>They are animals</t>
  </si>
  <si>
    <t>A child eats them</t>
  </si>
  <si>
    <t>men! I come!</t>
  </si>
  <si>
    <t>They stayed at their surroundings</t>
  </si>
  <si>
    <t>You are safe/protected</t>
  </si>
  <si>
    <t>you came dead</t>
  </si>
  <si>
    <t>you came broken</t>
  </si>
  <si>
    <t>She decorated the flat object. Reszty brakuje</t>
  </si>
  <si>
    <t>She put a horizontal thing on a horizontal thing</t>
  </si>
  <si>
    <t>She decorated the flat object</t>
  </si>
  <si>
    <t>the road is fixed multiple times</t>
  </si>
  <si>
    <t>Man cannot keep a way on this road</t>
  </si>
  <si>
    <t>The road cannot be kept as this road</t>
  </si>
  <si>
    <t>I live in this town</t>
  </si>
  <si>
    <t>I live in a town Pasen</t>
  </si>
  <si>
    <t>I am kept in a town</t>
  </si>
  <si>
    <t>Brakuje "tan seme", ale zdanie jest zrozumiałe</t>
  </si>
  <si>
    <t>why you work why</t>
  </si>
  <si>
    <t>I want to eat an animal</t>
  </si>
  <si>
    <t>He's good to me</t>
  </si>
  <si>
    <t>Swimming is good to him</t>
  </si>
  <si>
    <t>Water is goot for me</t>
  </si>
  <si>
    <t>He swims and he is good to it</t>
  </si>
  <si>
    <t>fruit/vegetable is bad for me</t>
  </si>
  <si>
    <t>I hate fruit/vegetable</t>
  </si>
  <si>
    <t>Red vegetable is bad for me</t>
  </si>
  <si>
    <t>look and do it</t>
  </si>
  <si>
    <t>she loves her</t>
  </si>
  <si>
    <t>the city of city is under attack of man</t>
  </si>
  <si>
    <t>men are attacking a big city</t>
  </si>
  <si>
    <t>I like food</t>
  </si>
  <si>
    <t>Seli oznacza też cooking element, dlatego mieści się to w znaczeniu</t>
  </si>
  <si>
    <t>I feel fun.</t>
  </si>
  <si>
    <t>For now I have drunk three alcohols</t>
  </si>
  <si>
    <t>This time I drank three alcohols</t>
  </si>
  <si>
    <t>We won't die</t>
  </si>
  <si>
    <t>We attackers attack</t>
  </si>
  <si>
    <t>What money do you want to make</t>
  </si>
  <si>
    <t>how much money do you want to receive</t>
  </si>
  <si>
    <t>I hope it doesn't have to not die</t>
  </si>
  <si>
    <t>what way did you know me</t>
  </si>
  <si>
    <t>dosłowny sens jest tutaj uchwycony</t>
  </si>
  <si>
    <t>she didnt die</t>
  </si>
  <si>
    <t>she didn't die</t>
  </si>
  <si>
    <t>you don't feel</t>
  </si>
  <si>
    <t>this will be a very good job (job opportunity)</t>
  </si>
  <si>
    <t>this will be a very good way</t>
  </si>
  <si>
    <t>you eat sweat rice</t>
  </si>
  <si>
    <t xml:space="preserve"> </t>
  </si>
  <si>
    <t>you must study</t>
  </si>
  <si>
    <t>jeśli założymy, że soweli to generalnie zwierze, to jest to poprawne, ale brak rozróżnienia</t>
  </si>
  <si>
    <t>this is good (possibility for better) or what?</t>
  </si>
  <si>
    <t>halucynacja z dodaniem kama</t>
  </si>
  <si>
    <t>halucynacja z dodaniem mi</t>
  </si>
  <si>
    <t>I see this: your arguments are not real</t>
  </si>
  <si>
    <t>I want to ask him about something</t>
  </si>
  <si>
    <t>everything is done</t>
  </si>
  <si>
    <t>pred_s_9</t>
  </si>
  <si>
    <t>ocena_s_9</t>
  </si>
  <si>
    <t>o kama pakala!</t>
  </si>
  <si>
    <t>o tawa ala!</t>
  </si>
  <si>
    <t>mi ken ala moku e ilo pi pona sijelo.</t>
  </si>
  <si>
    <t>jan seme li tawa lon tomo tawa?</t>
  </si>
  <si>
    <t>kule pi telo mama li seme?</t>
  </si>
  <si>
    <t>sina kama jo e lipu anu seme?</t>
  </si>
  <si>
    <t>ona li pali e nasin e nasin pi noka suli.</t>
  </si>
  <si>
    <t>tenpo suno kama la mi sike suno mute.</t>
  </si>
  <si>
    <t>ona mute li jo e ilo wawa lili.</t>
  </si>
  <si>
    <t>mije mi tawa weka.</t>
  </si>
  <si>
    <t>ona li pona e supa lon sinpin.</t>
  </si>
  <si>
    <t>len ni li jo e len pi jan seme?</t>
  </si>
  <si>
    <t>tawa li pona tawa ona. ona li pona tawa ona.</t>
  </si>
  <si>
    <t>ona li sama ilo linja pi telo suli.</t>
  </si>
  <si>
    <t>o lukin o pali e ona.</t>
  </si>
  <si>
    <t>ona li pilin sama uta mi.</t>
  </si>
  <si>
    <t>mi lon poka sina pi poka sina.</t>
  </si>
  <si>
    <t>jan utala li utala e ma tomo.</t>
  </si>
  <si>
    <t>o moku.</t>
  </si>
  <si>
    <t>tenpo pini pini la sina pali anu seme?</t>
  </si>
  <si>
    <t>ni li pona mute tawa mi mute.</t>
  </si>
  <si>
    <t>mi wile e ni: telo li kama ala.</t>
  </si>
  <si>
    <t>ni li ken ala ken moku e ni?</t>
  </si>
  <si>
    <t>mi wile e ni: sina pana e pona tawa sina.</t>
  </si>
  <si>
    <t>jan li ken ala weka e utala utala tawa ona.</t>
  </si>
  <si>
    <t>tenpo pini la sina pilin ala pilin e tawa?</t>
  </si>
  <si>
    <t>mi wile e ijo lili.</t>
  </si>
  <si>
    <t>ni li wile pi pona mute.</t>
  </si>
  <si>
    <t>mi pilin utala. taso la mi wile lape.</t>
  </si>
  <si>
    <t>meli lili ni li toki ala. meli ni li kalama musi ala.</t>
  </si>
  <si>
    <t>waso li moku e pipi.</t>
  </si>
  <si>
    <t>mi wile sona.</t>
  </si>
  <si>
    <t>ni li ken ala lon?</t>
  </si>
  <si>
    <t>olin li pona tawa mi.</t>
  </si>
  <si>
    <t>jan pali pi tomo moku o, ni li pakala.</t>
  </si>
  <si>
    <t>mi wile toki e wile tawa ona.</t>
  </si>
  <si>
    <t>mi olin e sina en kulupu mama sina.</t>
  </si>
  <si>
    <t>mi wile pana e jaki.</t>
  </si>
  <si>
    <t>mi sona e jan pi sitelen nanpa e lipu.</t>
  </si>
  <si>
    <t>sike suno mute li sike suno mute.</t>
  </si>
  <si>
    <t>soweli suwi li moku ala e telo walo.</t>
  </si>
  <si>
    <t>komentarz_s_9</t>
  </si>
  <si>
    <t>pred_f_9</t>
  </si>
  <si>
    <t>ocena_f_9</t>
  </si>
  <si>
    <t>jan lili o!</t>
  </si>
  <si>
    <t>o lape!</t>
  </si>
  <si>
    <t>mi moku e ilo nasa.</t>
  </si>
  <si>
    <t>kule pi ko mama li seme?</t>
  </si>
  <si>
    <t>tenpo suno kama la mi majuna.</t>
  </si>
  <si>
    <t>ona li sitelen e supa lon sinpin.</t>
  </si>
  <si>
    <t>nasin li awen ala e nasin.</t>
  </si>
  <si>
    <t>len ni li ijo pi jan seme?</t>
  </si>
  <si>
    <t>mi wile moku e kala.</t>
  </si>
  <si>
    <t>kin la tawa li pona tawa ona.</t>
  </si>
  <si>
    <t>ona li sama sitelen pi linja nimi tu.</t>
  </si>
  <si>
    <t>ijo li kama ante lon tenpo pini anu seme?</t>
  </si>
  <si>
    <t>o lukin e kala ni lon telo suli.</t>
  </si>
  <si>
    <t>ona li pilin e ni: uta mi li seli.</t>
  </si>
  <si>
    <t>mi lon poka lawa sina.</t>
  </si>
  <si>
    <t>tenpo ni la mi nasa e pipi tu tu.</t>
  </si>
  <si>
    <t>tenpo kama la mi utala.</t>
  </si>
  <si>
    <t>ni li moku ala moku e ni?</t>
  </si>
  <si>
    <t>mi toki e ni tawa mi: sina pana e pona tawa sina.</t>
  </si>
  <si>
    <t>sina pilin ala pilin e ni: sina tawa wawa?</t>
  </si>
  <si>
    <t>mi wile e unpa.</t>
  </si>
  <si>
    <t>sina sona ala.</t>
  </si>
  <si>
    <t>ni li wile pona.</t>
  </si>
  <si>
    <t>sina mute li moku e pan walo.</t>
  </si>
  <si>
    <t>mi pilin utala. taso mi wile lape.</t>
  </si>
  <si>
    <t>sina wile kama sona wawa mute.</t>
  </si>
  <si>
    <t>soweli li moku e pipi.</t>
  </si>
  <si>
    <t>taso mi sitelen ala e len lawa lawa.</t>
  </si>
  <si>
    <t>pona mute a!</t>
  </si>
  <si>
    <t>ona li lon tenpo ale.</t>
  </si>
  <si>
    <t>ona li ken pana e telo oko.</t>
  </si>
  <si>
    <t>pilin li pana e pilin pakala.</t>
  </si>
  <si>
    <t>soweli suwi li moku ala e telo jaki.</t>
  </si>
  <si>
    <t>komentarz_f_9</t>
  </si>
  <si>
    <t>I can't eat thing of body goodness</t>
  </si>
  <si>
    <t>zbyt bezpośrednie tłumaczenie "have" i zgubiony sens</t>
  </si>
  <si>
    <t>guys I go away</t>
  </si>
  <si>
    <t>she make the horizontal things better on the walls</t>
  </si>
  <si>
    <t>I am staying in a town</t>
  </si>
  <si>
    <t>look at fish in the water</t>
  </si>
  <si>
    <t>it feels the same my mouth</t>
  </si>
  <si>
    <t>im on the side of your side</t>
  </si>
  <si>
    <t>the city is under attack</t>
  </si>
  <si>
    <t>I like doing</t>
  </si>
  <si>
    <t>we attackers attack</t>
  </si>
  <si>
    <t>halucynacja pini pini sugeruje, że było to dawno</t>
  </si>
  <si>
    <t>i hope this: water/rain doesnt come</t>
  </si>
  <si>
    <t>can you eat this</t>
  </si>
  <si>
    <t>I ask this: you help yourself</t>
  </si>
  <si>
    <t>what way do you know me?</t>
  </si>
  <si>
    <t>I want a little thing</t>
  </si>
  <si>
    <t>I go</t>
  </si>
  <si>
    <t>I feel angry. But I want to sleep</t>
  </si>
  <si>
    <t>These girls are not speaking. These girls are not singing.</t>
  </si>
  <si>
    <t>you must study a lot</t>
  </si>
  <si>
    <t>birds eat insects</t>
  </si>
  <si>
    <t>I want to know</t>
  </si>
  <si>
    <t>i like love</t>
  </si>
  <si>
    <t>Hey restaurant worker, this is broken</t>
  </si>
  <si>
    <t>i love you and your family</t>
  </si>
  <si>
    <t>i want to give a disgusting thing</t>
  </si>
  <si>
    <t>feeling/thinking gives a hurt</t>
  </si>
  <si>
    <t>many years is many years</t>
  </si>
  <si>
    <t>sweet animals don't drink white water</t>
  </si>
  <si>
    <t>Boy!</t>
  </si>
  <si>
    <t>I take drugs</t>
  </si>
  <si>
    <t>One day I will be old</t>
  </si>
  <si>
    <t>Guys, I am comming</t>
  </si>
  <si>
    <t>she pictured on the wall</t>
  </si>
  <si>
    <t>the road is not kept as a road</t>
  </si>
  <si>
    <t>this dress is a thing of who?</t>
  </si>
  <si>
    <t>I want to eat fish</t>
  </si>
  <si>
    <t>things came later than things before?</t>
  </si>
  <si>
    <t>look at these fish in the lake</t>
  </si>
  <si>
    <t>It feels like this: my mouth is fire</t>
  </si>
  <si>
    <t>lawa - halucynacja, być może związana z powiązaniem right i law w znaczeniu lawa</t>
  </si>
  <si>
    <t>in the future we will attack</t>
  </si>
  <si>
    <t>in the past were you working</t>
  </si>
  <si>
    <t>start.</t>
  </si>
  <si>
    <t>I want to have sex</t>
  </si>
  <si>
    <t>You don't know</t>
  </si>
  <si>
    <t>This is a good wish</t>
  </si>
  <si>
    <t>animals eat insects</t>
  </si>
  <si>
    <t>halucynacja, podwojne lawa</t>
  </si>
  <si>
    <t>it doesn't exist now</t>
  </si>
  <si>
    <t>i knew the creator and the book</t>
  </si>
  <si>
    <t>Thinking gives a harming feeling</t>
  </si>
  <si>
    <t>cute animals don't drink bitter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</si>
</sst>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2" fillId="0" borderId="0" xfId="0" applyFont="1"/>
    <xf numFmtId="0" fontId="1" fillId="0" borderId="2" xfId="0" applyFont="1" applyFill="1" applyBorder="1" applyAlignment="1">
      <alignment horizontal="center" vertical="top"/>
    </xf>
  </cellXfs>
  <cellStyles count="1">
    <cellStyle name="Normalny" xfId="0" builtinId="0"/>
  </cellStyles>
  <dxfs count="1">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1"/>
  <sheetViews>
    <sheetView tabSelected="1" topLeftCell="I68" zoomScaleNormal="100" workbookViewId="0">
      <selection activeCell="L99" sqref="L99"/>
    </sheetView>
  </sheetViews>
  <sheetFormatPr defaultRowHeight="15" x14ac:dyDescent="0.25"/>
  <cols>
    <col min="1" max="1" width="44.140625" bestFit="1" customWidth="1"/>
    <col min="2" max="2" width="46.85546875" bestFit="1" customWidth="1"/>
    <col min="3" max="3" width="57.5703125" customWidth="1"/>
    <col min="4" max="4" width="10.140625" bestFit="1" customWidth="1"/>
    <col min="5" max="5" width="70.140625" bestFit="1" customWidth="1"/>
    <col min="6" max="6" width="36" customWidth="1"/>
    <col min="7" max="7" width="10.42578125" customWidth="1"/>
    <col min="8" max="8" width="27.85546875" bestFit="1" customWidth="1"/>
    <col min="9" max="9" width="43.140625" bestFit="1" customWidth="1"/>
    <col min="10" max="10" width="10.140625" bestFit="1" customWidth="1"/>
    <col min="11" max="11" width="39" bestFit="1" customWidth="1"/>
    <col min="12" max="12" width="38" customWidth="1"/>
    <col min="13" max="13" width="11" customWidth="1"/>
    <col min="14" max="14" width="21.85546875" bestFit="1" customWidth="1"/>
    <col min="15" max="15" width="47.5703125" bestFit="1" customWidth="1"/>
    <col min="16" max="16" width="10" bestFit="1" customWidth="1"/>
    <col min="17" max="17" width="14.28515625" bestFit="1" customWidth="1"/>
    <col min="18" max="18" width="44.42578125" bestFit="1" customWidth="1"/>
    <col min="19" max="19" width="10" bestFit="1" customWidth="1"/>
    <col min="20" max="20" width="14.28515625" bestFit="1" customWidth="1"/>
  </cols>
  <sheetData>
    <row r="1" spans="1:20" x14ac:dyDescent="0.25">
      <c r="A1" s="1" t="s">
        <v>0</v>
      </c>
      <c r="B1" s="1" t="s">
        <v>1</v>
      </c>
      <c r="C1" s="1" t="s">
        <v>2</v>
      </c>
      <c r="D1" s="1" t="s">
        <v>3</v>
      </c>
      <c r="E1" s="1" t="s">
        <v>481</v>
      </c>
      <c r="F1" s="1" t="s">
        <v>4</v>
      </c>
      <c r="G1" s="1" t="s">
        <v>5</v>
      </c>
      <c r="H1" s="1" t="s">
        <v>482</v>
      </c>
      <c r="I1" s="1" t="s">
        <v>569</v>
      </c>
      <c r="J1" s="1" t="s">
        <v>570</v>
      </c>
      <c r="K1" s="1" t="s">
        <v>612</v>
      </c>
      <c r="L1" s="1" t="s">
        <v>6</v>
      </c>
      <c r="M1" s="1" t="s">
        <v>7</v>
      </c>
      <c r="N1" s="1" t="s">
        <v>483</v>
      </c>
      <c r="O1" s="1" t="s">
        <v>8</v>
      </c>
      <c r="P1" s="1" t="s">
        <v>9</v>
      </c>
      <c r="Q1" s="1" t="s">
        <v>484</v>
      </c>
      <c r="R1" s="1" t="s">
        <v>613</v>
      </c>
      <c r="S1" s="1" t="s">
        <v>614</v>
      </c>
      <c r="T1" s="4" t="s">
        <v>648</v>
      </c>
    </row>
    <row r="2" spans="1:20" x14ac:dyDescent="0.25">
      <c r="A2" t="s">
        <v>10</v>
      </c>
      <c r="B2" t="s">
        <v>11</v>
      </c>
      <c r="C2" t="s">
        <v>12</v>
      </c>
      <c r="D2">
        <v>2</v>
      </c>
      <c r="E2" t="s">
        <v>485</v>
      </c>
      <c r="F2" t="s">
        <v>13</v>
      </c>
      <c r="G2">
        <v>2</v>
      </c>
      <c r="H2" t="s">
        <v>485</v>
      </c>
      <c r="I2" t="s">
        <v>571</v>
      </c>
      <c r="J2">
        <v>0</v>
      </c>
      <c r="L2" t="s">
        <v>14</v>
      </c>
      <c r="M2">
        <v>0</v>
      </c>
      <c r="O2" t="s">
        <v>15</v>
      </c>
      <c r="P2">
        <v>0</v>
      </c>
      <c r="R2" t="s">
        <v>615</v>
      </c>
      <c r="S2">
        <v>2</v>
      </c>
      <c r="T2" t="s">
        <v>679</v>
      </c>
    </row>
    <row r="3" spans="1:20" x14ac:dyDescent="0.25">
      <c r="A3" t="s">
        <v>16</v>
      </c>
      <c r="B3" t="s">
        <v>17</v>
      </c>
      <c r="C3" t="s">
        <v>18</v>
      </c>
      <c r="D3">
        <v>1</v>
      </c>
      <c r="E3" t="s">
        <v>486</v>
      </c>
      <c r="F3" t="s">
        <v>17</v>
      </c>
      <c r="G3">
        <v>2</v>
      </c>
      <c r="I3" t="s">
        <v>17</v>
      </c>
      <c r="J3">
        <v>2</v>
      </c>
      <c r="L3" t="s">
        <v>19</v>
      </c>
      <c r="M3">
        <v>2</v>
      </c>
      <c r="N3" t="s">
        <v>487</v>
      </c>
      <c r="O3" t="s">
        <v>17</v>
      </c>
      <c r="P3">
        <v>2</v>
      </c>
      <c r="R3" t="s">
        <v>17</v>
      </c>
      <c r="S3">
        <f t="shared" ref="S3:S66" si="0">IF(OR(IF(R3=O3,P3,FALSE),IF(R3=B3,TRUE,FALSE)),2,"")</f>
        <v>2</v>
      </c>
    </row>
    <row r="4" spans="1:20" x14ac:dyDescent="0.25">
      <c r="A4" t="s">
        <v>20</v>
      </c>
      <c r="B4" t="s">
        <v>21</v>
      </c>
      <c r="C4" t="s">
        <v>22</v>
      </c>
      <c r="D4">
        <v>0</v>
      </c>
      <c r="E4" t="s">
        <v>490</v>
      </c>
      <c r="F4" t="s">
        <v>23</v>
      </c>
      <c r="G4">
        <v>2</v>
      </c>
      <c r="H4" t="s">
        <v>488</v>
      </c>
      <c r="I4" t="s">
        <v>572</v>
      </c>
      <c r="J4">
        <v>0</v>
      </c>
      <c r="L4" t="s">
        <v>22</v>
      </c>
      <c r="M4">
        <v>0</v>
      </c>
      <c r="N4" t="s">
        <v>489</v>
      </c>
      <c r="O4" t="s">
        <v>23</v>
      </c>
      <c r="P4">
        <v>2</v>
      </c>
      <c r="Q4" t="s">
        <v>488</v>
      </c>
      <c r="R4" t="s">
        <v>616</v>
      </c>
      <c r="S4">
        <v>2</v>
      </c>
    </row>
    <row r="5" spans="1:20" x14ac:dyDescent="0.25">
      <c r="A5" t="s">
        <v>24</v>
      </c>
      <c r="B5" t="s">
        <v>25</v>
      </c>
      <c r="C5" t="s">
        <v>26</v>
      </c>
      <c r="D5">
        <v>1</v>
      </c>
      <c r="E5" t="s">
        <v>491</v>
      </c>
      <c r="F5" t="s">
        <v>27</v>
      </c>
      <c r="G5">
        <v>2</v>
      </c>
      <c r="H5" t="s">
        <v>492</v>
      </c>
      <c r="I5" t="s">
        <v>27</v>
      </c>
      <c r="J5">
        <v>2</v>
      </c>
      <c r="K5" t="s">
        <v>492</v>
      </c>
      <c r="L5" t="s">
        <v>26</v>
      </c>
      <c r="M5">
        <v>1</v>
      </c>
      <c r="N5" t="s">
        <v>491</v>
      </c>
      <c r="O5" t="s">
        <v>27</v>
      </c>
      <c r="P5">
        <v>2</v>
      </c>
      <c r="Q5" t="s">
        <v>492</v>
      </c>
      <c r="R5" t="s">
        <v>27</v>
      </c>
      <c r="S5">
        <f t="shared" si="0"/>
        <v>2</v>
      </c>
    </row>
    <row r="6" spans="1:20" x14ac:dyDescent="0.25">
      <c r="A6" t="s">
        <v>28</v>
      </c>
      <c r="B6" t="s">
        <v>29</v>
      </c>
      <c r="C6" t="s">
        <v>30</v>
      </c>
      <c r="D6">
        <v>0</v>
      </c>
      <c r="E6" t="s">
        <v>493</v>
      </c>
      <c r="F6" s="2" t="s">
        <v>31</v>
      </c>
      <c r="G6">
        <v>1</v>
      </c>
      <c r="H6" s="2" t="s">
        <v>494</v>
      </c>
      <c r="I6" t="s">
        <v>573</v>
      </c>
      <c r="J6">
        <v>0</v>
      </c>
      <c r="K6" t="s">
        <v>649</v>
      </c>
      <c r="L6" s="2" t="s">
        <v>32</v>
      </c>
      <c r="M6">
        <v>0</v>
      </c>
      <c r="N6" s="2" t="s">
        <v>495</v>
      </c>
      <c r="O6" t="s">
        <v>33</v>
      </c>
      <c r="P6">
        <v>1</v>
      </c>
      <c r="Q6" t="s">
        <v>496</v>
      </c>
      <c r="R6" t="s">
        <v>617</v>
      </c>
      <c r="S6">
        <v>2</v>
      </c>
      <c r="T6" t="s">
        <v>680</v>
      </c>
    </row>
    <row r="7" spans="1:20" x14ac:dyDescent="0.25">
      <c r="A7" t="s">
        <v>34</v>
      </c>
      <c r="B7" t="s">
        <v>35</v>
      </c>
      <c r="C7" t="s">
        <v>36</v>
      </c>
      <c r="D7">
        <v>0</v>
      </c>
      <c r="E7" t="s">
        <v>497</v>
      </c>
      <c r="F7" t="s">
        <v>37</v>
      </c>
      <c r="G7">
        <v>0</v>
      </c>
      <c r="H7" t="s">
        <v>497</v>
      </c>
      <c r="I7" t="s">
        <v>574</v>
      </c>
      <c r="J7">
        <v>0</v>
      </c>
      <c r="L7" t="s">
        <v>38</v>
      </c>
      <c r="M7">
        <v>0</v>
      </c>
      <c r="O7" s="3" t="s">
        <v>39</v>
      </c>
      <c r="P7">
        <v>2</v>
      </c>
      <c r="Q7" t="s">
        <v>498</v>
      </c>
      <c r="R7" t="s">
        <v>35</v>
      </c>
      <c r="S7">
        <f t="shared" si="0"/>
        <v>2</v>
      </c>
    </row>
    <row r="8" spans="1:20" x14ac:dyDescent="0.25">
      <c r="A8" t="s">
        <v>40</v>
      </c>
      <c r="B8" t="s">
        <v>41</v>
      </c>
      <c r="C8" t="s">
        <v>42</v>
      </c>
      <c r="D8">
        <v>1</v>
      </c>
      <c r="E8" t="s">
        <v>499</v>
      </c>
      <c r="F8" t="s">
        <v>43</v>
      </c>
      <c r="G8">
        <v>1</v>
      </c>
      <c r="H8" t="s">
        <v>500</v>
      </c>
      <c r="I8" t="s">
        <v>43</v>
      </c>
      <c r="J8">
        <v>1</v>
      </c>
      <c r="K8" t="s">
        <v>500</v>
      </c>
      <c r="L8" s="2" t="s">
        <v>44</v>
      </c>
      <c r="M8">
        <v>0</v>
      </c>
      <c r="N8" t="s">
        <v>501</v>
      </c>
      <c r="O8" t="s">
        <v>41</v>
      </c>
      <c r="P8">
        <v>2</v>
      </c>
      <c r="R8" t="s">
        <v>41</v>
      </c>
      <c r="S8">
        <f t="shared" si="0"/>
        <v>2</v>
      </c>
    </row>
    <row r="9" spans="1:20" x14ac:dyDescent="0.25">
      <c r="A9" t="s">
        <v>45</v>
      </c>
      <c r="B9" t="s">
        <v>46</v>
      </c>
      <c r="C9" t="s">
        <v>47</v>
      </c>
      <c r="D9">
        <v>0</v>
      </c>
      <c r="F9" t="s">
        <v>48</v>
      </c>
      <c r="G9">
        <v>1</v>
      </c>
      <c r="H9" t="s">
        <v>502</v>
      </c>
      <c r="I9" t="s">
        <v>575</v>
      </c>
      <c r="J9">
        <v>1</v>
      </c>
      <c r="K9" t="s">
        <v>502</v>
      </c>
      <c r="L9" t="s">
        <v>49</v>
      </c>
      <c r="M9">
        <v>0</v>
      </c>
      <c r="O9" t="s">
        <v>50</v>
      </c>
      <c r="P9">
        <v>0</v>
      </c>
      <c r="R9" t="s">
        <v>618</v>
      </c>
      <c r="S9">
        <v>0</v>
      </c>
    </row>
    <row r="10" spans="1:20" x14ac:dyDescent="0.25">
      <c r="A10" t="s">
        <v>51</v>
      </c>
      <c r="B10" t="s">
        <v>52</v>
      </c>
      <c r="C10" t="s">
        <v>53</v>
      </c>
      <c r="D10">
        <v>2</v>
      </c>
      <c r="E10" t="s">
        <v>503</v>
      </c>
      <c r="F10" t="s">
        <v>53</v>
      </c>
      <c r="G10">
        <v>2</v>
      </c>
      <c r="H10" t="s">
        <v>503</v>
      </c>
      <c r="I10" t="s">
        <v>53</v>
      </c>
      <c r="J10">
        <v>2</v>
      </c>
      <c r="K10" t="s">
        <v>503</v>
      </c>
      <c r="L10" t="s">
        <v>53</v>
      </c>
      <c r="M10">
        <v>2</v>
      </c>
      <c r="N10" t="s">
        <v>503</v>
      </c>
      <c r="O10" t="s">
        <v>53</v>
      </c>
      <c r="P10">
        <v>2</v>
      </c>
      <c r="Q10" t="s">
        <v>503</v>
      </c>
      <c r="R10" t="s">
        <v>52</v>
      </c>
      <c r="S10">
        <f t="shared" si="0"/>
        <v>2</v>
      </c>
    </row>
    <row r="11" spans="1:20" x14ac:dyDescent="0.25">
      <c r="A11" t="s">
        <v>54</v>
      </c>
      <c r="B11" t="s">
        <v>55</v>
      </c>
      <c r="C11" t="s">
        <v>56</v>
      </c>
      <c r="D11">
        <v>1</v>
      </c>
      <c r="E11" t="s">
        <v>504</v>
      </c>
      <c r="F11" t="s">
        <v>56</v>
      </c>
      <c r="G11">
        <v>1</v>
      </c>
      <c r="H11" t="s">
        <v>504</v>
      </c>
      <c r="I11" t="s">
        <v>576</v>
      </c>
      <c r="J11">
        <v>0</v>
      </c>
      <c r="K11" t="s">
        <v>650</v>
      </c>
      <c r="L11" t="s">
        <v>56</v>
      </c>
      <c r="M11">
        <v>1</v>
      </c>
      <c r="N11" t="s">
        <v>504</v>
      </c>
      <c r="O11" t="s">
        <v>56</v>
      </c>
      <c r="P11">
        <v>1</v>
      </c>
      <c r="Q11" t="s">
        <v>504</v>
      </c>
      <c r="R11" t="s">
        <v>576</v>
      </c>
      <c r="S11">
        <v>0</v>
      </c>
    </row>
    <row r="12" spans="1:20" x14ac:dyDescent="0.25">
      <c r="A12" t="s">
        <v>57</v>
      </c>
      <c r="B12" t="s">
        <v>58</v>
      </c>
      <c r="C12" t="s">
        <v>58</v>
      </c>
      <c r="D12">
        <v>2</v>
      </c>
      <c r="F12" t="s">
        <v>58</v>
      </c>
      <c r="G12">
        <v>2</v>
      </c>
      <c r="I12" t="s">
        <v>58</v>
      </c>
      <c r="J12">
        <v>2</v>
      </c>
      <c r="L12" s="2" t="s">
        <v>59</v>
      </c>
      <c r="M12">
        <v>1</v>
      </c>
      <c r="N12" t="s">
        <v>506</v>
      </c>
      <c r="O12" t="s">
        <v>60</v>
      </c>
      <c r="P12">
        <v>1</v>
      </c>
      <c r="Q12" t="s">
        <v>505</v>
      </c>
      <c r="R12" t="s">
        <v>60</v>
      </c>
      <c r="S12">
        <f t="shared" si="0"/>
        <v>2</v>
      </c>
    </row>
    <row r="13" spans="1:20" x14ac:dyDescent="0.25">
      <c r="A13" t="s">
        <v>61</v>
      </c>
      <c r="B13" t="s">
        <v>62</v>
      </c>
      <c r="C13" t="s">
        <v>63</v>
      </c>
      <c r="D13">
        <v>2</v>
      </c>
      <c r="E13" t="s">
        <v>507</v>
      </c>
      <c r="F13" t="s">
        <v>64</v>
      </c>
      <c r="G13">
        <v>2</v>
      </c>
      <c r="H13" t="s">
        <v>508</v>
      </c>
      <c r="I13" t="s">
        <v>64</v>
      </c>
      <c r="J13">
        <v>2</v>
      </c>
      <c r="L13" t="s">
        <v>63</v>
      </c>
      <c r="M13">
        <v>2</v>
      </c>
      <c r="N13" t="s">
        <v>507</v>
      </c>
      <c r="O13" t="s">
        <v>64</v>
      </c>
      <c r="P13">
        <v>2</v>
      </c>
      <c r="Q13" t="s">
        <v>508</v>
      </c>
      <c r="R13" t="s">
        <v>64</v>
      </c>
      <c r="S13">
        <f t="shared" si="0"/>
        <v>2</v>
      </c>
    </row>
    <row r="14" spans="1:20" x14ac:dyDescent="0.25">
      <c r="A14" t="s">
        <v>65</v>
      </c>
      <c r="B14" t="s">
        <v>66</v>
      </c>
      <c r="C14" t="s">
        <v>67</v>
      </c>
      <c r="D14">
        <v>0</v>
      </c>
      <c r="E14" t="s">
        <v>509</v>
      </c>
      <c r="F14" t="s">
        <v>68</v>
      </c>
      <c r="G14">
        <v>1</v>
      </c>
      <c r="I14" t="s">
        <v>577</v>
      </c>
      <c r="J14">
        <v>0</v>
      </c>
      <c r="L14" t="s">
        <v>69</v>
      </c>
      <c r="M14">
        <v>0</v>
      </c>
      <c r="O14" t="s">
        <v>70</v>
      </c>
      <c r="P14">
        <v>1</v>
      </c>
      <c r="R14" t="s">
        <v>68</v>
      </c>
      <c r="S14">
        <v>1</v>
      </c>
    </row>
    <row r="15" spans="1:20" x14ac:dyDescent="0.25">
      <c r="A15" t="s">
        <v>71</v>
      </c>
      <c r="B15" t="s">
        <v>72</v>
      </c>
      <c r="C15" t="s">
        <v>72</v>
      </c>
      <c r="D15">
        <v>2</v>
      </c>
      <c r="F15" t="s">
        <v>72</v>
      </c>
      <c r="G15">
        <v>2</v>
      </c>
      <c r="I15" t="s">
        <v>72</v>
      </c>
      <c r="J15">
        <v>2</v>
      </c>
      <c r="L15" t="s">
        <v>72</v>
      </c>
      <c r="M15">
        <v>2</v>
      </c>
      <c r="O15" t="s">
        <v>72</v>
      </c>
      <c r="P15">
        <v>2</v>
      </c>
      <c r="R15" t="s">
        <v>72</v>
      </c>
      <c r="S15">
        <f t="shared" si="0"/>
        <v>2</v>
      </c>
    </row>
    <row r="16" spans="1:20" x14ac:dyDescent="0.25">
      <c r="A16" t="s">
        <v>73</v>
      </c>
      <c r="B16" t="s">
        <v>74</v>
      </c>
      <c r="C16" t="s">
        <v>75</v>
      </c>
      <c r="D16">
        <v>0</v>
      </c>
      <c r="F16" t="s">
        <v>76</v>
      </c>
      <c r="G16">
        <v>0</v>
      </c>
      <c r="I16" t="s">
        <v>578</v>
      </c>
      <c r="J16">
        <v>0</v>
      </c>
      <c r="L16" t="s">
        <v>77</v>
      </c>
      <c r="M16">
        <v>0</v>
      </c>
      <c r="O16" t="s">
        <v>78</v>
      </c>
      <c r="P16">
        <v>0</v>
      </c>
      <c r="R16" t="s">
        <v>619</v>
      </c>
      <c r="S16">
        <v>1</v>
      </c>
      <c r="T16" t="s">
        <v>681</v>
      </c>
    </row>
    <row r="17" spans="1:20" x14ac:dyDescent="0.25">
      <c r="A17" t="s">
        <v>79</v>
      </c>
      <c r="B17" t="s">
        <v>80</v>
      </c>
      <c r="C17" t="s">
        <v>81</v>
      </c>
      <c r="D17">
        <v>0</v>
      </c>
      <c r="E17" t="s">
        <v>512</v>
      </c>
      <c r="F17" t="s">
        <v>82</v>
      </c>
      <c r="G17">
        <v>0</v>
      </c>
      <c r="I17" t="s">
        <v>579</v>
      </c>
      <c r="J17">
        <v>0</v>
      </c>
      <c r="L17" t="s">
        <v>83</v>
      </c>
      <c r="M17">
        <v>1</v>
      </c>
      <c r="N17" t="s">
        <v>510</v>
      </c>
      <c r="O17" t="s">
        <v>84</v>
      </c>
      <c r="P17">
        <v>2</v>
      </c>
      <c r="Q17" t="s">
        <v>511</v>
      </c>
      <c r="R17" t="s">
        <v>84</v>
      </c>
      <c r="S17">
        <f t="shared" si="0"/>
        <v>2</v>
      </c>
    </row>
    <row r="18" spans="1:20" x14ac:dyDescent="0.25">
      <c r="A18" t="s">
        <v>85</v>
      </c>
      <c r="B18" t="s">
        <v>86</v>
      </c>
      <c r="C18" t="s">
        <v>86</v>
      </c>
      <c r="D18">
        <v>2</v>
      </c>
      <c r="F18" t="s">
        <v>86</v>
      </c>
      <c r="G18">
        <v>2</v>
      </c>
      <c r="I18" t="s">
        <v>86</v>
      </c>
      <c r="J18">
        <v>2</v>
      </c>
      <c r="L18" t="s">
        <v>86</v>
      </c>
      <c r="M18">
        <v>2</v>
      </c>
      <c r="O18" t="s">
        <v>86</v>
      </c>
      <c r="P18">
        <v>2</v>
      </c>
      <c r="R18" t="s">
        <v>86</v>
      </c>
      <c r="S18">
        <f t="shared" si="0"/>
        <v>2</v>
      </c>
    </row>
    <row r="19" spans="1:20" x14ac:dyDescent="0.25">
      <c r="A19" t="s">
        <v>87</v>
      </c>
      <c r="B19" t="s">
        <v>88</v>
      </c>
      <c r="C19" t="s">
        <v>89</v>
      </c>
      <c r="D19">
        <v>0</v>
      </c>
      <c r="E19" t="s">
        <v>513</v>
      </c>
      <c r="F19" t="s">
        <v>90</v>
      </c>
      <c r="G19">
        <v>1</v>
      </c>
      <c r="H19" t="s">
        <v>514</v>
      </c>
      <c r="I19" t="s">
        <v>580</v>
      </c>
      <c r="J19">
        <v>2</v>
      </c>
      <c r="K19" t="s">
        <v>651</v>
      </c>
      <c r="L19" t="s">
        <v>91</v>
      </c>
      <c r="M19">
        <v>0</v>
      </c>
      <c r="O19" t="s">
        <v>92</v>
      </c>
      <c r="P19">
        <v>1</v>
      </c>
      <c r="R19" t="s">
        <v>90</v>
      </c>
      <c r="S19">
        <v>1</v>
      </c>
      <c r="T19" t="s">
        <v>682</v>
      </c>
    </row>
    <row r="20" spans="1:20" x14ac:dyDescent="0.25">
      <c r="A20" t="s">
        <v>93</v>
      </c>
      <c r="B20" t="s">
        <v>94</v>
      </c>
      <c r="C20" t="s">
        <v>95</v>
      </c>
      <c r="D20">
        <v>2</v>
      </c>
      <c r="E20" t="s">
        <v>515</v>
      </c>
      <c r="F20" t="s">
        <v>94</v>
      </c>
      <c r="G20">
        <v>2</v>
      </c>
      <c r="I20" t="s">
        <v>94</v>
      </c>
      <c r="J20">
        <v>2</v>
      </c>
      <c r="L20" t="s">
        <v>95</v>
      </c>
      <c r="M20">
        <v>2</v>
      </c>
      <c r="O20" t="s">
        <v>96</v>
      </c>
      <c r="P20">
        <v>2</v>
      </c>
      <c r="R20" t="s">
        <v>96</v>
      </c>
      <c r="S20">
        <f t="shared" si="0"/>
        <v>2</v>
      </c>
    </row>
    <row r="21" spans="1:20" x14ac:dyDescent="0.25">
      <c r="A21" t="s">
        <v>97</v>
      </c>
      <c r="B21" t="s">
        <v>98</v>
      </c>
      <c r="C21" t="s">
        <v>99</v>
      </c>
      <c r="D21">
        <v>2</v>
      </c>
      <c r="E21" t="s">
        <v>516</v>
      </c>
      <c r="F21" t="s">
        <v>100</v>
      </c>
      <c r="G21">
        <v>0</v>
      </c>
      <c r="H21" t="s">
        <v>517</v>
      </c>
      <c r="I21" t="s">
        <v>101</v>
      </c>
      <c r="J21">
        <v>0</v>
      </c>
      <c r="K21" t="s">
        <v>518</v>
      </c>
      <c r="L21" t="s">
        <v>100</v>
      </c>
      <c r="M21">
        <v>0</v>
      </c>
      <c r="N21" t="s">
        <v>517</v>
      </c>
      <c r="O21" t="s">
        <v>101</v>
      </c>
      <c r="P21">
        <v>0</v>
      </c>
      <c r="Q21" t="s">
        <v>518</v>
      </c>
      <c r="R21" t="s">
        <v>101</v>
      </c>
      <c r="S21">
        <v>0</v>
      </c>
    </row>
    <row r="22" spans="1:20" x14ac:dyDescent="0.25">
      <c r="A22" t="s">
        <v>102</v>
      </c>
      <c r="B22" t="s">
        <v>103</v>
      </c>
      <c r="C22" t="s">
        <v>104</v>
      </c>
      <c r="D22">
        <v>1</v>
      </c>
      <c r="E22" t="s">
        <v>519</v>
      </c>
      <c r="F22" t="s">
        <v>105</v>
      </c>
      <c r="G22">
        <v>0</v>
      </c>
      <c r="H22" t="s">
        <v>520</v>
      </c>
      <c r="I22" t="s">
        <v>581</v>
      </c>
      <c r="J22">
        <v>1</v>
      </c>
      <c r="K22" t="s">
        <v>652</v>
      </c>
      <c r="L22" t="s">
        <v>104</v>
      </c>
      <c r="M22">
        <v>1</v>
      </c>
      <c r="N22" t="s">
        <v>521</v>
      </c>
      <c r="O22" t="s">
        <v>105</v>
      </c>
      <c r="P22">
        <v>0</v>
      </c>
      <c r="R22" t="s">
        <v>620</v>
      </c>
      <c r="S22">
        <v>2</v>
      </c>
      <c r="T22" t="s">
        <v>683</v>
      </c>
    </row>
    <row r="23" spans="1:20" x14ac:dyDescent="0.25">
      <c r="A23" t="s">
        <v>106</v>
      </c>
      <c r="B23" t="s">
        <v>107</v>
      </c>
      <c r="C23" t="s">
        <v>108</v>
      </c>
      <c r="D23">
        <v>1</v>
      </c>
      <c r="E23" t="s">
        <v>522</v>
      </c>
      <c r="F23" t="s">
        <v>109</v>
      </c>
      <c r="G23">
        <v>0</v>
      </c>
      <c r="H23" t="s">
        <v>523</v>
      </c>
      <c r="I23" t="s">
        <v>109</v>
      </c>
      <c r="J23">
        <v>0</v>
      </c>
      <c r="K23" t="s">
        <v>523</v>
      </c>
      <c r="L23" t="s">
        <v>108</v>
      </c>
      <c r="M23">
        <v>1</v>
      </c>
      <c r="N23" t="s">
        <v>522</v>
      </c>
      <c r="O23" t="s">
        <v>110</v>
      </c>
      <c r="P23">
        <v>0</v>
      </c>
      <c r="Q23" t="s">
        <v>524</v>
      </c>
      <c r="R23" t="s">
        <v>621</v>
      </c>
      <c r="S23">
        <v>2</v>
      </c>
      <c r="T23" t="s">
        <v>684</v>
      </c>
    </row>
    <row r="24" spans="1:20" x14ac:dyDescent="0.25">
      <c r="A24" t="s">
        <v>111</v>
      </c>
      <c r="B24" t="s">
        <v>112</v>
      </c>
      <c r="C24" t="s">
        <v>113</v>
      </c>
      <c r="D24">
        <v>0</v>
      </c>
      <c r="F24" t="s">
        <v>113</v>
      </c>
      <c r="G24">
        <v>0</v>
      </c>
      <c r="I24" t="s">
        <v>582</v>
      </c>
      <c r="J24">
        <v>0</v>
      </c>
      <c r="L24" t="s">
        <v>114</v>
      </c>
      <c r="M24">
        <v>0</v>
      </c>
      <c r="O24" t="s">
        <v>115</v>
      </c>
      <c r="P24">
        <v>0</v>
      </c>
      <c r="R24" t="s">
        <v>622</v>
      </c>
      <c r="S24">
        <v>2</v>
      </c>
      <c r="T24" t="s">
        <v>685</v>
      </c>
    </row>
    <row r="25" spans="1:20" x14ac:dyDescent="0.25">
      <c r="A25" t="s">
        <v>116</v>
      </c>
      <c r="B25" t="s">
        <v>117</v>
      </c>
      <c r="C25" t="s">
        <v>118</v>
      </c>
      <c r="D25">
        <v>2</v>
      </c>
      <c r="E25" t="s">
        <v>525</v>
      </c>
      <c r="F25" t="s">
        <v>117</v>
      </c>
      <c r="G25">
        <v>2</v>
      </c>
      <c r="I25" t="s">
        <v>120</v>
      </c>
      <c r="J25">
        <v>2</v>
      </c>
      <c r="K25" t="s">
        <v>653</v>
      </c>
      <c r="L25" t="s">
        <v>119</v>
      </c>
      <c r="M25">
        <v>2</v>
      </c>
      <c r="N25" t="s">
        <v>526</v>
      </c>
      <c r="O25" t="s">
        <v>120</v>
      </c>
      <c r="P25">
        <v>2</v>
      </c>
      <c r="Q25" t="s">
        <v>527</v>
      </c>
      <c r="R25" t="s">
        <v>120</v>
      </c>
      <c r="S25">
        <f t="shared" si="0"/>
        <v>2</v>
      </c>
    </row>
    <row r="26" spans="1:20" x14ac:dyDescent="0.25">
      <c r="A26" t="s">
        <v>121</v>
      </c>
      <c r="B26" t="s">
        <v>122</v>
      </c>
      <c r="C26" t="s">
        <v>122</v>
      </c>
      <c r="D26">
        <v>2</v>
      </c>
      <c r="F26" t="s">
        <v>122</v>
      </c>
      <c r="G26">
        <v>2</v>
      </c>
      <c r="I26" t="s">
        <v>122</v>
      </c>
      <c r="J26">
        <f t="shared" ref="J25:J88" si="1">IF(I26=F26,G26,"")</f>
        <v>2</v>
      </c>
      <c r="L26" t="s">
        <v>122</v>
      </c>
      <c r="M26">
        <v>2</v>
      </c>
      <c r="O26" t="s">
        <v>123</v>
      </c>
      <c r="P26">
        <v>1</v>
      </c>
      <c r="Q26" t="s">
        <v>528</v>
      </c>
      <c r="R26" t="s">
        <v>122</v>
      </c>
      <c r="S26">
        <f t="shared" si="0"/>
        <v>2</v>
      </c>
    </row>
    <row r="27" spans="1:20" x14ac:dyDescent="0.25">
      <c r="A27" t="s">
        <v>124</v>
      </c>
      <c r="B27" t="s">
        <v>125</v>
      </c>
      <c r="C27" t="s">
        <v>126</v>
      </c>
      <c r="D27">
        <v>0</v>
      </c>
      <c r="E27" t="s">
        <v>529</v>
      </c>
      <c r="F27" t="s">
        <v>127</v>
      </c>
      <c r="G27">
        <v>2</v>
      </c>
      <c r="I27" t="s">
        <v>127</v>
      </c>
      <c r="J27">
        <f t="shared" si="1"/>
        <v>2</v>
      </c>
      <c r="L27" t="s">
        <v>128</v>
      </c>
      <c r="M27">
        <v>0</v>
      </c>
      <c r="O27" t="s">
        <v>127</v>
      </c>
      <c r="P27">
        <v>2</v>
      </c>
      <c r="R27" t="s">
        <v>127</v>
      </c>
      <c r="S27">
        <f t="shared" si="0"/>
        <v>2</v>
      </c>
    </row>
    <row r="28" spans="1:20" x14ac:dyDescent="0.25">
      <c r="A28" t="s">
        <v>129</v>
      </c>
      <c r="B28" t="s">
        <v>130</v>
      </c>
      <c r="C28" t="s">
        <v>131</v>
      </c>
      <c r="D28">
        <v>1</v>
      </c>
      <c r="E28" t="s">
        <v>530</v>
      </c>
      <c r="F28" t="s">
        <v>132</v>
      </c>
      <c r="G28">
        <v>1</v>
      </c>
      <c r="H28" t="s">
        <v>530</v>
      </c>
      <c r="I28" t="s">
        <v>132</v>
      </c>
      <c r="J28">
        <f t="shared" si="1"/>
        <v>1</v>
      </c>
      <c r="L28" t="s">
        <v>131</v>
      </c>
      <c r="M28">
        <v>1</v>
      </c>
      <c r="N28" t="s">
        <v>530</v>
      </c>
      <c r="O28" t="s">
        <v>132</v>
      </c>
      <c r="P28">
        <v>1</v>
      </c>
      <c r="Q28" t="s">
        <v>530</v>
      </c>
      <c r="R28" t="s">
        <v>623</v>
      </c>
      <c r="S28">
        <v>0</v>
      </c>
      <c r="T28" t="s">
        <v>686</v>
      </c>
    </row>
    <row r="29" spans="1:20" x14ac:dyDescent="0.25">
      <c r="A29" t="s">
        <v>133</v>
      </c>
      <c r="B29" t="s">
        <v>134</v>
      </c>
      <c r="C29" t="s">
        <v>135</v>
      </c>
      <c r="D29">
        <v>0</v>
      </c>
      <c r="E29" t="s">
        <v>531</v>
      </c>
      <c r="F29" t="s">
        <v>136</v>
      </c>
      <c r="G29">
        <v>2</v>
      </c>
      <c r="H29" t="s">
        <v>532</v>
      </c>
      <c r="I29" t="s">
        <v>583</v>
      </c>
      <c r="J29">
        <v>0</v>
      </c>
      <c r="L29" t="s">
        <v>137</v>
      </c>
      <c r="M29">
        <v>0</v>
      </c>
      <c r="N29" t="s">
        <v>533</v>
      </c>
      <c r="O29" t="s">
        <v>138</v>
      </c>
      <c r="P29">
        <v>2</v>
      </c>
      <c r="Q29" t="s">
        <v>534</v>
      </c>
      <c r="R29" t="s">
        <v>624</v>
      </c>
      <c r="S29">
        <v>0</v>
      </c>
    </row>
    <row r="30" spans="1:20" x14ac:dyDescent="0.25">
      <c r="A30" t="s">
        <v>139</v>
      </c>
      <c r="B30" t="s">
        <v>140</v>
      </c>
      <c r="C30" t="s">
        <v>141</v>
      </c>
      <c r="D30">
        <v>0</v>
      </c>
      <c r="F30" t="s">
        <v>142</v>
      </c>
      <c r="G30">
        <v>0</v>
      </c>
      <c r="I30" t="s">
        <v>584</v>
      </c>
      <c r="J30">
        <v>0</v>
      </c>
      <c r="L30" t="s">
        <v>143</v>
      </c>
      <c r="M30">
        <v>0</v>
      </c>
      <c r="O30" t="s">
        <v>144</v>
      </c>
      <c r="P30">
        <v>0</v>
      </c>
      <c r="R30" t="s">
        <v>625</v>
      </c>
      <c r="S30">
        <v>0</v>
      </c>
    </row>
    <row r="31" spans="1:20" x14ac:dyDescent="0.25">
      <c r="A31" t="s">
        <v>145</v>
      </c>
      <c r="B31" t="s">
        <v>146</v>
      </c>
      <c r="C31" t="s">
        <v>147</v>
      </c>
      <c r="D31">
        <v>2</v>
      </c>
      <c r="E31" t="s">
        <v>535</v>
      </c>
      <c r="F31" t="s">
        <v>148</v>
      </c>
      <c r="G31">
        <v>2</v>
      </c>
      <c r="H31" t="s">
        <v>536</v>
      </c>
      <c r="I31" t="s">
        <v>148</v>
      </c>
      <c r="J31">
        <f t="shared" si="1"/>
        <v>2</v>
      </c>
      <c r="L31" t="s">
        <v>147</v>
      </c>
      <c r="M31">
        <v>2</v>
      </c>
      <c r="O31" t="s">
        <v>149</v>
      </c>
      <c r="P31">
        <v>1</v>
      </c>
      <c r="Q31" t="s">
        <v>537</v>
      </c>
      <c r="R31" t="s">
        <v>149</v>
      </c>
      <c r="S31">
        <f t="shared" si="0"/>
        <v>2</v>
      </c>
    </row>
    <row r="32" spans="1:20" x14ac:dyDescent="0.25">
      <c r="A32" t="s">
        <v>150</v>
      </c>
      <c r="B32" t="s">
        <v>151</v>
      </c>
      <c r="C32" t="s">
        <v>152</v>
      </c>
      <c r="D32">
        <v>0</v>
      </c>
      <c r="F32" t="s">
        <v>153</v>
      </c>
      <c r="G32">
        <v>0</v>
      </c>
      <c r="I32" t="s">
        <v>155</v>
      </c>
      <c r="J32">
        <v>0</v>
      </c>
      <c r="L32" t="s">
        <v>154</v>
      </c>
      <c r="M32">
        <v>0</v>
      </c>
      <c r="O32" t="s">
        <v>155</v>
      </c>
      <c r="P32">
        <v>0</v>
      </c>
      <c r="R32" t="s">
        <v>626</v>
      </c>
      <c r="S32">
        <v>0</v>
      </c>
      <c r="T32" t="s">
        <v>687</v>
      </c>
    </row>
    <row r="33" spans="1:20" x14ac:dyDescent="0.25">
      <c r="A33" t="s">
        <v>156</v>
      </c>
      <c r="B33" t="s">
        <v>157</v>
      </c>
      <c r="C33" t="s">
        <v>158</v>
      </c>
      <c r="D33">
        <v>0</v>
      </c>
      <c r="F33" t="s">
        <v>159</v>
      </c>
      <c r="G33">
        <v>2</v>
      </c>
      <c r="H33" t="s">
        <v>538</v>
      </c>
      <c r="I33" t="s">
        <v>585</v>
      </c>
      <c r="J33">
        <v>2</v>
      </c>
      <c r="K33" t="s">
        <v>538</v>
      </c>
      <c r="L33" t="s">
        <v>160</v>
      </c>
      <c r="M33">
        <v>1</v>
      </c>
      <c r="O33" t="s">
        <v>159</v>
      </c>
      <c r="P33">
        <v>2</v>
      </c>
      <c r="Q33" t="s">
        <v>538</v>
      </c>
      <c r="R33" t="s">
        <v>157</v>
      </c>
      <c r="S33">
        <f t="shared" si="0"/>
        <v>2</v>
      </c>
    </row>
    <row r="34" spans="1:20" x14ac:dyDescent="0.25">
      <c r="A34" t="s">
        <v>161</v>
      </c>
      <c r="B34" t="s">
        <v>162</v>
      </c>
      <c r="C34" t="s">
        <v>163</v>
      </c>
      <c r="D34">
        <v>2</v>
      </c>
      <c r="F34" t="s">
        <v>163</v>
      </c>
      <c r="G34">
        <v>2</v>
      </c>
      <c r="I34" t="s">
        <v>162</v>
      </c>
      <c r="J34">
        <v>2</v>
      </c>
      <c r="K34" t="s">
        <v>654</v>
      </c>
      <c r="L34" t="s">
        <v>164</v>
      </c>
      <c r="M34">
        <v>2</v>
      </c>
      <c r="O34" t="s">
        <v>163</v>
      </c>
      <c r="P34">
        <v>2</v>
      </c>
      <c r="R34" t="s">
        <v>627</v>
      </c>
      <c r="S34">
        <v>2</v>
      </c>
      <c r="T34" t="s">
        <v>688</v>
      </c>
    </row>
    <row r="35" spans="1:20" x14ac:dyDescent="0.25">
      <c r="A35" t="s">
        <v>165</v>
      </c>
      <c r="B35" t="s">
        <v>166</v>
      </c>
      <c r="C35" t="s">
        <v>167</v>
      </c>
      <c r="D35">
        <v>0</v>
      </c>
      <c r="F35" t="s">
        <v>168</v>
      </c>
      <c r="G35">
        <v>0</v>
      </c>
      <c r="I35" t="s">
        <v>586</v>
      </c>
      <c r="J35">
        <v>0</v>
      </c>
      <c r="K35" t="s">
        <v>655</v>
      </c>
      <c r="L35" t="s">
        <v>169</v>
      </c>
      <c r="M35">
        <v>0</v>
      </c>
      <c r="O35" t="s">
        <v>170</v>
      </c>
      <c r="P35">
        <v>0</v>
      </c>
      <c r="R35" t="s">
        <v>628</v>
      </c>
      <c r="S35">
        <v>2</v>
      </c>
      <c r="T35" t="s">
        <v>689</v>
      </c>
    </row>
    <row r="36" spans="1:20" x14ac:dyDescent="0.25">
      <c r="A36" t="s">
        <v>171</v>
      </c>
      <c r="B36" t="s">
        <v>172</v>
      </c>
      <c r="C36" t="s">
        <v>173</v>
      </c>
      <c r="D36">
        <v>0</v>
      </c>
      <c r="F36" t="s">
        <v>174</v>
      </c>
      <c r="G36">
        <v>2</v>
      </c>
      <c r="I36" t="s">
        <v>587</v>
      </c>
      <c r="J36">
        <v>2</v>
      </c>
      <c r="K36" t="s">
        <v>656</v>
      </c>
      <c r="L36" t="s">
        <v>175</v>
      </c>
      <c r="M36">
        <v>2</v>
      </c>
      <c r="O36" t="s">
        <v>176</v>
      </c>
      <c r="P36">
        <v>2</v>
      </c>
      <c r="R36" t="s">
        <v>629</v>
      </c>
      <c r="S36">
        <v>1</v>
      </c>
      <c r="T36" t="s">
        <v>690</v>
      </c>
    </row>
    <row r="37" spans="1:20" x14ac:dyDescent="0.25">
      <c r="A37" t="s">
        <v>177</v>
      </c>
      <c r="B37" t="s">
        <v>178</v>
      </c>
      <c r="C37" t="s">
        <v>179</v>
      </c>
      <c r="D37">
        <v>0</v>
      </c>
      <c r="E37" t="s">
        <v>539</v>
      </c>
      <c r="F37" t="s">
        <v>178</v>
      </c>
      <c r="G37">
        <v>2</v>
      </c>
      <c r="I37" t="s">
        <v>178</v>
      </c>
      <c r="J37">
        <f t="shared" si="1"/>
        <v>2</v>
      </c>
      <c r="L37" t="s">
        <v>180</v>
      </c>
      <c r="M37">
        <v>1</v>
      </c>
      <c r="O37" t="s">
        <v>178</v>
      </c>
      <c r="P37">
        <v>2</v>
      </c>
      <c r="R37" t="s">
        <v>178</v>
      </c>
      <c r="S37">
        <f t="shared" si="0"/>
        <v>2</v>
      </c>
    </row>
    <row r="38" spans="1:20" x14ac:dyDescent="0.25">
      <c r="A38" t="s">
        <v>181</v>
      </c>
      <c r="B38" t="s">
        <v>182</v>
      </c>
      <c r="C38" t="s">
        <v>183</v>
      </c>
      <c r="D38">
        <v>0</v>
      </c>
      <c r="F38" t="s">
        <v>184</v>
      </c>
      <c r="G38">
        <v>1</v>
      </c>
      <c r="H38" t="s">
        <v>540</v>
      </c>
      <c r="I38" t="s">
        <v>588</v>
      </c>
      <c r="J38">
        <v>2</v>
      </c>
      <c r="K38" t="s">
        <v>657</v>
      </c>
      <c r="L38" t="s">
        <v>185</v>
      </c>
      <c r="M38">
        <v>0</v>
      </c>
      <c r="O38" t="s">
        <v>186</v>
      </c>
      <c r="P38">
        <v>2</v>
      </c>
      <c r="Q38" t="s">
        <v>541</v>
      </c>
      <c r="R38" t="s">
        <v>588</v>
      </c>
      <c r="S38">
        <v>2</v>
      </c>
    </row>
    <row r="39" spans="1:20" x14ac:dyDescent="0.25">
      <c r="A39" t="s">
        <v>187</v>
      </c>
      <c r="B39" t="s">
        <v>188</v>
      </c>
      <c r="C39" t="s">
        <v>189</v>
      </c>
      <c r="D39">
        <v>1</v>
      </c>
      <c r="E39" t="s">
        <v>542</v>
      </c>
      <c r="F39" t="s">
        <v>189</v>
      </c>
      <c r="G39">
        <v>1</v>
      </c>
      <c r="H39" t="s">
        <v>542</v>
      </c>
      <c r="I39" t="s">
        <v>190</v>
      </c>
      <c r="J39">
        <v>0</v>
      </c>
      <c r="K39" t="s">
        <v>658</v>
      </c>
      <c r="L39" t="s">
        <v>189</v>
      </c>
      <c r="M39">
        <v>1</v>
      </c>
      <c r="N39" t="s">
        <v>542</v>
      </c>
      <c r="O39" t="s">
        <v>190</v>
      </c>
      <c r="P39">
        <v>2</v>
      </c>
      <c r="Q39" t="s">
        <v>543</v>
      </c>
      <c r="R39" t="s">
        <v>190</v>
      </c>
      <c r="S39">
        <f t="shared" si="0"/>
        <v>2</v>
      </c>
    </row>
    <row r="40" spans="1:20" x14ac:dyDescent="0.25">
      <c r="A40" t="s">
        <v>191</v>
      </c>
      <c r="B40" t="s">
        <v>192</v>
      </c>
      <c r="C40" t="s">
        <v>193</v>
      </c>
      <c r="D40">
        <v>1</v>
      </c>
      <c r="E40" t="s">
        <v>544</v>
      </c>
      <c r="F40" t="s">
        <v>192</v>
      </c>
      <c r="G40">
        <v>2</v>
      </c>
      <c r="I40" t="s">
        <v>192</v>
      </c>
      <c r="J40">
        <f t="shared" si="1"/>
        <v>2</v>
      </c>
      <c r="L40" t="s">
        <v>193</v>
      </c>
      <c r="M40">
        <v>1</v>
      </c>
      <c r="O40" t="s">
        <v>192</v>
      </c>
      <c r="P40">
        <v>2</v>
      </c>
      <c r="R40" t="s">
        <v>192</v>
      </c>
      <c r="S40">
        <f t="shared" si="0"/>
        <v>2</v>
      </c>
    </row>
    <row r="41" spans="1:20" x14ac:dyDescent="0.25">
      <c r="A41" t="s">
        <v>194</v>
      </c>
      <c r="B41" t="s">
        <v>195</v>
      </c>
      <c r="C41" t="s">
        <v>196</v>
      </c>
      <c r="D41">
        <v>2</v>
      </c>
      <c r="E41" t="s">
        <v>545</v>
      </c>
      <c r="F41" t="s">
        <v>197</v>
      </c>
      <c r="G41">
        <v>2</v>
      </c>
      <c r="H41" t="s">
        <v>546</v>
      </c>
      <c r="I41" t="s">
        <v>197</v>
      </c>
      <c r="J41">
        <f t="shared" si="1"/>
        <v>2</v>
      </c>
      <c r="L41" t="s">
        <v>198</v>
      </c>
      <c r="M41">
        <v>0</v>
      </c>
      <c r="O41" t="s">
        <v>197</v>
      </c>
      <c r="P41">
        <v>2</v>
      </c>
      <c r="R41" t="s">
        <v>630</v>
      </c>
      <c r="S41">
        <v>0</v>
      </c>
    </row>
    <row r="42" spans="1:20" x14ac:dyDescent="0.25">
      <c r="A42" t="s">
        <v>199</v>
      </c>
      <c r="B42" t="s">
        <v>200</v>
      </c>
      <c r="C42" t="s">
        <v>201</v>
      </c>
      <c r="D42">
        <v>2</v>
      </c>
      <c r="F42" t="s">
        <v>201</v>
      </c>
      <c r="G42">
        <v>2</v>
      </c>
      <c r="I42" t="s">
        <v>589</v>
      </c>
      <c r="J42">
        <v>2</v>
      </c>
      <c r="L42" t="s">
        <v>201</v>
      </c>
      <c r="M42">
        <v>2</v>
      </c>
      <c r="O42" t="s">
        <v>201</v>
      </c>
      <c r="P42">
        <v>2</v>
      </c>
      <c r="R42" t="s">
        <v>201</v>
      </c>
      <c r="S42">
        <f t="shared" si="0"/>
        <v>2</v>
      </c>
    </row>
    <row r="43" spans="1:20" x14ac:dyDescent="0.25">
      <c r="A43" t="s">
        <v>202</v>
      </c>
      <c r="B43" t="s">
        <v>203</v>
      </c>
      <c r="C43" t="s">
        <v>204</v>
      </c>
      <c r="D43">
        <v>0</v>
      </c>
      <c r="F43" t="s">
        <v>205</v>
      </c>
      <c r="G43">
        <v>2</v>
      </c>
      <c r="I43" t="s">
        <v>207</v>
      </c>
      <c r="J43">
        <v>2</v>
      </c>
      <c r="K43" t="s">
        <v>659</v>
      </c>
      <c r="L43" t="s">
        <v>206</v>
      </c>
      <c r="M43">
        <v>0</v>
      </c>
      <c r="N43" t="s">
        <v>547</v>
      </c>
      <c r="O43" t="s">
        <v>207</v>
      </c>
      <c r="P43">
        <v>2</v>
      </c>
      <c r="Q43" t="s">
        <v>548</v>
      </c>
      <c r="R43" t="s">
        <v>631</v>
      </c>
      <c r="S43">
        <v>2</v>
      </c>
      <c r="T43" t="s">
        <v>691</v>
      </c>
    </row>
    <row r="44" spans="1:20" x14ac:dyDescent="0.25">
      <c r="A44" t="s">
        <v>208</v>
      </c>
      <c r="B44" t="s">
        <v>209</v>
      </c>
      <c r="C44" t="s">
        <v>210</v>
      </c>
      <c r="D44">
        <v>0</v>
      </c>
      <c r="F44" t="s">
        <v>211</v>
      </c>
      <c r="G44">
        <v>0</v>
      </c>
      <c r="I44" t="s">
        <v>590</v>
      </c>
      <c r="J44">
        <v>1</v>
      </c>
      <c r="K44" t="s">
        <v>660</v>
      </c>
      <c r="L44" t="s">
        <v>212</v>
      </c>
      <c r="M44">
        <v>0</v>
      </c>
      <c r="O44" t="s">
        <v>213</v>
      </c>
      <c r="P44">
        <v>0</v>
      </c>
      <c r="R44" t="s">
        <v>590</v>
      </c>
      <c r="S44">
        <v>0</v>
      </c>
      <c r="T44" t="s">
        <v>692</v>
      </c>
    </row>
    <row r="45" spans="1:20" x14ac:dyDescent="0.25">
      <c r="A45" t="s">
        <v>214</v>
      </c>
      <c r="B45" t="s">
        <v>215</v>
      </c>
      <c r="C45" t="s">
        <v>216</v>
      </c>
      <c r="D45">
        <v>1</v>
      </c>
      <c r="F45" t="s">
        <v>215</v>
      </c>
      <c r="G45">
        <v>2</v>
      </c>
      <c r="I45" t="s">
        <v>215</v>
      </c>
      <c r="J45">
        <f t="shared" si="1"/>
        <v>2</v>
      </c>
      <c r="L45" t="s">
        <v>216</v>
      </c>
      <c r="M45">
        <v>1</v>
      </c>
      <c r="O45" t="s">
        <v>215</v>
      </c>
      <c r="P45">
        <v>2</v>
      </c>
      <c r="R45" t="s">
        <v>215</v>
      </c>
      <c r="S45">
        <f t="shared" si="0"/>
        <v>2</v>
      </c>
    </row>
    <row r="46" spans="1:20" x14ac:dyDescent="0.25">
      <c r="A46" t="s">
        <v>217</v>
      </c>
      <c r="B46" t="s">
        <v>218</v>
      </c>
      <c r="C46" t="s">
        <v>219</v>
      </c>
      <c r="D46">
        <v>0</v>
      </c>
      <c r="F46" t="s">
        <v>220</v>
      </c>
      <c r="G46">
        <v>0</v>
      </c>
      <c r="I46" t="s">
        <v>591</v>
      </c>
      <c r="J46">
        <v>2</v>
      </c>
      <c r="L46" t="s">
        <v>219</v>
      </c>
      <c r="M46">
        <v>0</v>
      </c>
      <c r="O46" t="s">
        <v>221</v>
      </c>
      <c r="P46">
        <v>2</v>
      </c>
      <c r="R46" t="s">
        <v>221</v>
      </c>
      <c r="S46">
        <f t="shared" si="0"/>
        <v>2</v>
      </c>
    </row>
    <row r="47" spans="1:20" x14ac:dyDescent="0.25">
      <c r="A47" s="2" t="s">
        <v>222</v>
      </c>
      <c r="B47" t="s">
        <v>223</v>
      </c>
      <c r="C47" t="s">
        <v>224</v>
      </c>
      <c r="D47">
        <v>2</v>
      </c>
      <c r="E47" t="s">
        <v>549</v>
      </c>
      <c r="F47" t="s">
        <v>225</v>
      </c>
      <c r="G47">
        <v>1</v>
      </c>
      <c r="I47" t="s">
        <v>225</v>
      </c>
      <c r="J47">
        <f t="shared" si="1"/>
        <v>1</v>
      </c>
      <c r="L47" t="s">
        <v>226</v>
      </c>
      <c r="M47">
        <v>2</v>
      </c>
      <c r="O47" t="s">
        <v>227</v>
      </c>
      <c r="P47">
        <v>2</v>
      </c>
      <c r="Q47" t="s">
        <v>550</v>
      </c>
      <c r="R47" t="s">
        <v>225</v>
      </c>
      <c r="S47">
        <v>2</v>
      </c>
    </row>
    <row r="48" spans="1:20" x14ac:dyDescent="0.25">
      <c r="A48" s="2" t="s">
        <v>228</v>
      </c>
      <c r="B48" t="s">
        <v>229</v>
      </c>
      <c r="C48" t="s">
        <v>230</v>
      </c>
      <c r="D48">
        <v>0</v>
      </c>
      <c r="E48" t="s">
        <v>551</v>
      </c>
      <c r="F48" t="s">
        <v>231</v>
      </c>
      <c r="G48">
        <v>0</v>
      </c>
      <c r="I48" t="s">
        <v>592</v>
      </c>
      <c r="J48">
        <v>2</v>
      </c>
      <c r="K48" t="s">
        <v>661</v>
      </c>
      <c r="L48" t="s">
        <v>232</v>
      </c>
      <c r="M48">
        <v>0</v>
      </c>
      <c r="O48" t="s">
        <v>233</v>
      </c>
      <c r="P48">
        <v>0</v>
      </c>
      <c r="R48" t="s">
        <v>229</v>
      </c>
      <c r="S48">
        <f t="shared" si="0"/>
        <v>2</v>
      </c>
    </row>
    <row r="49" spans="1:20" x14ac:dyDescent="0.25">
      <c r="A49" t="s">
        <v>234</v>
      </c>
      <c r="B49" t="s">
        <v>235</v>
      </c>
      <c r="C49" t="s">
        <v>236</v>
      </c>
      <c r="D49">
        <v>0</v>
      </c>
      <c r="F49" t="s">
        <v>237</v>
      </c>
      <c r="G49">
        <v>0</v>
      </c>
      <c r="I49" t="s">
        <v>593</v>
      </c>
      <c r="J49">
        <v>0</v>
      </c>
      <c r="K49" t="s">
        <v>662</v>
      </c>
      <c r="L49" t="s">
        <v>238</v>
      </c>
      <c r="M49">
        <v>0</v>
      </c>
      <c r="O49" t="s">
        <v>239</v>
      </c>
      <c r="P49">
        <v>0</v>
      </c>
      <c r="R49" t="s">
        <v>632</v>
      </c>
      <c r="S49">
        <v>0</v>
      </c>
    </row>
    <row r="50" spans="1:20" x14ac:dyDescent="0.25">
      <c r="A50" t="s">
        <v>240</v>
      </c>
      <c r="B50" t="s">
        <v>241</v>
      </c>
      <c r="C50" t="s">
        <v>242</v>
      </c>
      <c r="D50">
        <v>0</v>
      </c>
      <c r="F50" t="s">
        <v>243</v>
      </c>
      <c r="G50">
        <v>0</v>
      </c>
      <c r="I50" t="s">
        <v>243</v>
      </c>
      <c r="J50">
        <f t="shared" si="1"/>
        <v>0</v>
      </c>
      <c r="L50" s="2" t="s">
        <v>244</v>
      </c>
      <c r="M50">
        <v>0</v>
      </c>
      <c r="O50" t="s">
        <v>245</v>
      </c>
      <c r="P50">
        <v>0</v>
      </c>
      <c r="R50" t="s">
        <v>243</v>
      </c>
      <c r="S50">
        <v>0</v>
      </c>
      <c r="T50" t="s">
        <v>693</v>
      </c>
    </row>
    <row r="51" spans="1:20" x14ac:dyDescent="0.25">
      <c r="A51" t="s">
        <v>246</v>
      </c>
      <c r="B51" t="s">
        <v>247</v>
      </c>
      <c r="C51" t="s">
        <v>248</v>
      </c>
      <c r="D51">
        <v>1</v>
      </c>
      <c r="F51" t="s">
        <v>247</v>
      </c>
      <c r="G51">
        <v>2</v>
      </c>
      <c r="I51" t="s">
        <v>247</v>
      </c>
      <c r="J51">
        <f t="shared" si="1"/>
        <v>2</v>
      </c>
      <c r="L51" t="s">
        <v>249</v>
      </c>
      <c r="M51">
        <v>1</v>
      </c>
      <c r="O51" t="s">
        <v>247</v>
      </c>
      <c r="P51">
        <v>2</v>
      </c>
      <c r="R51" t="s">
        <v>247</v>
      </c>
      <c r="S51">
        <f t="shared" si="0"/>
        <v>2</v>
      </c>
    </row>
    <row r="52" spans="1:20" x14ac:dyDescent="0.25">
      <c r="A52" t="s">
        <v>250</v>
      </c>
      <c r="B52" t="s">
        <v>251</v>
      </c>
      <c r="C52" t="s">
        <v>252</v>
      </c>
      <c r="D52">
        <v>0</v>
      </c>
      <c r="F52" t="s">
        <v>253</v>
      </c>
      <c r="G52">
        <v>0</v>
      </c>
      <c r="I52" t="s">
        <v>594</v>
      </c>
      <c r="J52">
        <v>1</v>
      </c>
      <c r="K52" t="s">
        <v>663</v>
      </c>
      <c r="L52" t="s">
        <v>254</v>
      </c>
      <c r="M52">
        <v>0</v>
      </c>
      <c r="O52" t="s">
        <v>255</v>
      </c>
      <c r="P52">
        <v>0</v>
      </c>
      <c r="R52" t="s">
        <v>633</v>
      </c>
      <c r="S52">
        <v>0</v>
      </c>
    </row>
    <row r="53" spans="1:20" x14ac:dyDescent="0.25">
      <c r="A53" t="s">
        <v>256</v>
      </c>
      <c r="B53" t="s">
        <v>257</v>
      </c>
      <c r="C53" t="s">
        <v>258</v>
      </c>
      <c r="D53">
        <v>0</v>
      </c>
      <c r="F53" t="s">
        <v>259</v>
      </c>
      <c r="G53">
        <v>0</v>
      </c>
      <c r="I53" t="s">
        <v>257</v>
      </c>
      <c r="J53">
        <v>2</v>
      </c>
      <c r="L53" t="s">
        <v>258</v>
      </c>
      <c r="M53">
        <v>0</v>
      </c>
      <c r="O53" t="s">
        <v>260</v>
      </c>
      <c r="P53">
        <v>1</v>
      </c>
      <c r="R53" t="s">
        <v>257</v>
      </c>
      <c r="S53">
        <f t="shared" si="0"/>
        <v>2</v>
      </c>
    </row>
    <row r="54" spans="1:20" x14ac:dyDescent="0.25">
      <c r="A54" t="s">
        <v>261</v>
      </c>
      <c r="B54" t="s">
        <v>262</v>
      </c>
      <c r="C54" t="s">
        <v>263</v>
      </c>
      <c r="D54">
        <v>0</v>
      </c>
      <c r="F54" t="s">
        <v>264</v>
      </c>
      <c r="G54">
        <v>1</v>
      </c>
      <c r="I54" t="s">
        <v>265</v>
      </c>
      <c r="J54">
        <v>2</v>
      </c>
      <c r="L54" t="s">
        <v>263</v>
      </c>
      <c r="M54">
        <v>0</v>
      </c>
      <c r="O54" t="s">
        <v>265</v>
      </c>
      <c r="P54">
        <v>2</v>
      </c>
      <c r="R54" t="s">
        <v>265</v>
      </c>
      <c r="S54">
        <f t="shared" si="0"/>
        <v>2</v>
      </c>
    </row>
    <row r="55" spans="1:20" x14ac:dyDescent="0.25">
      <c r="A55" t="s">
        <v>266</v>
      </c>
      <c r="B55" t="s">
        <v>267</v>
      </c>
      <c r="C55" t="s">
        <v>267</v>
      </c>
      <c r="D55">
        <v>2</v>
      </c>
      <c r="F55" t="s">
        <v>267</v>
      </c>
      <c r="G55">
        <v>2</v>
      </c>
      <c r="I55" t="s">
        <v>268</v>
      </c>
      <c r="J55">
        <v>2</v>
      </c>
      <c r="K55" t="s">
        <v>664</v>
      </c>
      <c r="L55" t="s">
        <v>267</v>
      </c>
      <c r="M55">
        <v>2</v>
      </c>
      <c r="O55" t="s">
        <v>268</v>
      </c>
      <c r="P55">
        <v>2</v>
      </c>
      <c r="Q55" t="s">
        <v>552</v>
      </c>
      <c r="R55" t="s">
        <v>268</v>
      </c>
      <c r="S55">
        <f t="shared" si="0"/>
        <v>2</v>
      </c>
    </row>
    <row r="56" spans="1:20" x14ac:dyDescent="0.25">
      <c r="A56" t="s">
        <v>269</v>
      </c>
      <c r="B56" t="s">
        <v>270</v>
      </c>
      <c r="C56" t="s">
        <v>271</v>
      </c>
      <c r="D56">
        <v>2</v>
      </c>
      <c r="F56" t="s">
        <v>272</v>
      </c>
      <c r="G56">
        <v>2</v>
      </c>
      <c r="I56" t="s">
        <v>270</v>
      </c>
      <c r="J56">
        <v>2</v>
      </c>
      <c r="L56" t="s">
        <v>273</v>
      </c>
      <c r="M56">
        <v>1</v>
      </c>
      <c r="O56" t="s">
        <v>270</v>
      </c>
      <c r="P56">
        <v>2</v>
      </c>
      <c r="R56" t="s">
        <v>270</v>
      </c>
      <c r="S56">
        <f t="shared" si="0"/>
        <v>2</v>
      </c>
    </row>
    <row r="57" spans="1:20" x14ac:dyDescent="0.25">
      <c r="A57" t="s">
        <v>274</v>
      </c>
      <c r="B57" t="s">
        <v>275</v>
      </c>
      <c r="C57" t="s">
        <v>276</v>
      </c>
      <c r="D57">
        <v>0</v>
      </c>
      <c r="F57" t="s">
        <v>277</v>
      </c>
      <c r="G57">
        <v>0</v>
      </c>
      <c r="I57" t="s">
        <v>595</v>
      </c>
      <c r="J57">
        <v>0</v>
      </c>
      <c r="L57" t="s">
        <v>278</v>
      </c>
      <c r="M57">
        <v>0</v>
      </c>
      <c r="O57" t="s">
        <v>279</v>
      </c>
      <c r="P57">
        <v>0</v>
      </c>
      <c r="R57" t="s">
        <v>279</v>
      </c>
      <c r="S57">
        <v>0</v>
      </c>
    </row>
    <row r="58" spans="1:20" x14ac:dyDescent="0.25">
      <c r="A58" t="s">
        <v>280</v>
      </c>
      <c r="B58" t="s">
        <v>281</v>
      </c>
      <c r="C58" t="s">
        <v>282</v>
      </c>
      <c r="D58">
        <v>0</v>
      </c>
      <c r="F58" t="s">
        <v>283</v>
      </c>
      <c r="G58">
        <v>2</v>
      </c>
      <c r="H58" t="s">
        <v>553</v>
      </c>
      <c r="I58" t="s">
        <v>596</v>
      </c>
      <c r="J58">
        <v>2</v>
      </c>
      <c r="L58" t="s">
        <v>284</v>
      </c>
      <c r="M58">
        <v>2</v>
      </c>
      <c r="N58" t="s">
        <v>553</v>
      </c>
      <c r="O58" t="s">
        <v>283</v>
      </c>
      <c r="P58">
        <v>2</v>
      </c>
      <c r="Q58" t="s">
        <v>553</v>
      </c>
      <c r="R58" t="s">
        <v>634</v>
      </c>
      <c r="S58">
        <v>0</v>
      </c>
    </row>
    <row r="59" spans="1:20" x14ac:dyDescent="0.25">
      <c r="A59" t="s">
        <v>285</v>
      </c>
      <c r="B59" t="s">
        <v>286</v>
      </c>
      <c r="C59" t="s">
        <v>287</v>
      </c>
      <c r="D59">
        <v>2</v>
      </c>
      <c r="F59" t="s">
        <v>288</v>
      </c>
      <c r="G59">
        <v>2</v>
      </c>
      <c r="I59" t="s">
        <v>597</v>
      </c>
      <c r="J59">
        <v>2</v>
      </c>
      <c r="K59" t="s">
        <v>665</v>
      </c>
      <c r="L59" t="s">
        <v>287</v>
      </c>
      <c r="M59">
        <v>2</v>
      </c>
      <c r="O59" t="s">
        <v>288</v>
      </c>
      <c r="P59">
        <v>2</v>
      </c>
      <c r="R59" t="s">
        <v>635</v>
      </c>
      <c r="S59">
        <v>0</v>
      </c>
      <c r="T59" t="s">
        <v>694</v>
      </c>
    </row>
    <row r="60" spans="1:20" x14ac:dyDescent="0.25">
      <c r="A60" t="s">
        <v>289</v>
      </c>
      <c r="B60" t="s">
        <v>290</v>
      </c>
      <c r="C60" t="s">
        <v>291</v>
      </c>
      <c r="D60">
        <v>1</v>
      </c>
      <c r="E60" t="s">
        <v>554</v>
      </c>
      <c r="F60" t="s">
        <v>290</v>
      </c>
      <c r="G60">
        <v>2</v>
      </c>
      <c r="I60" t="s">
        <v>290</v>
      </c>
      <c r="J60">
        <f t="shared" si="1"/>
        <v>2</v>
      </c>
      <c r="L60" t="s">
        <v>291</v>
      </c>
      <c r="M60">
        <v>1</v>
      </c>
      <c r="N60" t="s">
        <v>555</v>
      </c>
      <c r="O60" t="s">
        <v>290</v>
      </c>
      <c r="P60">
        <v>2</v>
      </c>
      <c r="R60" t="s">
        <v>290</v>
      </c>
      <c r="S60">
        <f t="shared" si="0"/>
        <v>2</v>
      </c>
    </row>
    <row r="61" spans="1:20" x14ac:dyDescent="0.25">
      <c r="A61" t="s">
        <v>292</v>
      </c>
      <c r="B61" t="s">
        <v>293</v>
      </c>
      <c r="C61" t="s">
        <v>293</v>
      </c>
      <c r="D61">
        <v>2</v>
      </c>
      <c r="F61" t="s">
        <v>293</v>
      </c>
      <c r="G61">
        <v>2</v>
      </c>
      <c r="I61" t="s">
        <v>293</v>
      </c>
      <c r="J61">
        <f t="shared" si="1"/>
        <v>2</v>
      </c>
      <c r="L61" t="s">
        <v>293</v>
      </c>
      <c r="M61">
        <v>2</v>
      </c>
      <c r="O61" t="s">
        <v>293</v>
      </c>
      <c r="P61">
        <v>2</v>
      </c>
      <c r="R61" t="s">
        <v>293</v>
      </c>
      <c r="S61">
        <f t="shared" si="0"/>
        <v>2</v>
      </c>
    </row>
    <row r="62" spans="1:20" x14ac:dyDescent="0.25">
      <c r="A62" t="s">
        <v>294</v>
      </c>
      <c r="B62" t="s">
        <v>295</v>
      </c>
      <c r="C62" t="s">
        <v>296</v>
      </c>
      <c r="D62">
        <v>0</v>
      </c>
      <c r="F62" t="s">
        <v>297</v>
      </c>
      <c r="G62">
        <v>0</v>
      </c>
      <c r="I62" t="s">
        <v>299</v>
      </c>
      <c r="J62">
        <v>2</v>
      </c>
      <c r="K62" t="s">
        <v>666</v>
      </c>
      <c r="L62" t="s">
        <v>298</v>
      </c>
      <c r="M62">
        <v>0</v>
      </c>
      <c r="O62" t="s">
        <v>299</v>
      </c>
      <c r="P62">
        <v>1</v>
      </c>
      <c r="R62" t="s">
        <v>299</v>
      </c>
      <c r="S62">
        <f t="shared" si="0"/>
        <v>2</v>
      </c>
    </row>
    <row r="63" spans="1:20" x14ac:dyDescent="0.25">
      <c r="A63" t="s">
        <v>300</v>
      </c>
      <c r="B63" t="s">
        <v>301</v>
      </c>
      <c r="C63" t="s">
        <v>302</v>
      </c>
      <c r="D63">
        <v>2</v>
      </c>
      <c r="E63" t="s">
        <v>556</v>
      </c>
      <c r="F63" t="s">
        <v>303</v>
      </c>
      <c r="G63">
        <v>0</v>
      </c>
      <c r="I63" t="s">
        <v>303</v>
      </c>
      <c r="J63">
        <f t="shared" si="1"/>
        <v>0</v>
      </c>
      <c r="L63" t="s">
        <v>304</v>
      </c>
      <c r="M63">
        <v>0</v>
      </c>
      <c r="O63" t="s">
        <v>303</v>
      </c>
      <c r="P63">
        <v>0</v>
      </c>
      <c r="R63" t="s">
        <v>636</v>
      </c>
      <c r="S63">
        <v>2</v>
      </c>
      <c r="T63" t="s">
        <v>695</v>
      </c>
    </row>
    <row r="64" spans="1:20" x14ac:dyDescent="0.25">
      <c r="A64" t="s">
        <v>305</v>
      </c>
      <c r="B64" t="s">
        <v>306</v>
      </c>
      <c r="C64" t="s">
        <v>307</v>
      </c>
      <c r="D64">
        <v>2</v>
      </c>
      <c r="E64" t="s">
        <v>557</v>
      </c>
      <c r="F64" t="s">
        <v>308</v>
      </c>
      <c r="G64">
        <v>2</v>
      </c>
      <c r="I64" t="s">
        <v>598</v>
      </c>
      <c r="J64">
        <v>1</v>
      </c>
      <c r="L64" t="s">
        <v>307</v>
      </c>
      <c r="M64">
        <v>2</v>
      </c>
      <c r="N64" t="s">
        <v>558</v>
      </c>
      <c r="O64" t="s">
        <v>308</v>
      </c>
      <c r="P64">
        <v>2</v>
      </c>
      <c r="Q64" t="s">
        <v>558</v>
      </c>
      <c r="R64" t="s">
        <v>637</v>
      </c>
      <c r="S64">
        <v>1</v>
      </c>
      <c r="T64" t="s">
        <v>696</v>
      </c>
    </row>
    <row r="65" spans="1:20" x14ac:dyDescent="0.25">
      <c r="A65" t="s">
        <v>309</v>
      </c>
      <c r="B65" t="s">
        <v>310</v>
      </c>
      <c r="C65" t="s">
        <v>311</v>
      </c>
      <c r="D65">
        <v>0</v>
      </c>
      <c r="F65" t="s">
        <v>310</v>
      </c>
      <c r="G65">
        <v>2</v>
      </c>
      <c r="I65" t="s">
        <v>310</v>
      </c>
      <c r="J65">
        <f t="shared" si="1"/>
        <v>2</v>
      </c>
      <c r="L65" t="s">
        <v>312</v>
      </c>
      <c r="M65">
        <v>0</v>
      </c>
      <c r="O65" t="s">
        <v>310</v>
      </c>
      <c r="P65">
        <v>2</v>
      </c>
      <c r="R65" t="s">
        <v>310</v>
      </c>
      <c r="S65">
        <f t="shared" si="0"/>
        <v>2</v>
      </c>
    </row>
    <row r="66" spans="1:20" x14ac:dyDescent="0.25">
      <c r="A66" t="s">
        <v>313</v>
      </c>
      <c r="B66" t="s">
        <v>53</v>
      </c>
      <c r="C66" t="s">
        <v>53</v>
      </c>
      <c r="D66">
        <v>2</v>
      </c>
      <c r="F66" t="s">
        <v>314</v>
      </c>
      <c r="G66">
        <v>2</v>
      </c>
      <c r="I66" t="s">
        <v>314</v>
      </c>
      <c r="J66">
        <f t="shared" si="1"/>
        <v>2</v>
      </c>
      <c r="L66" t="s">
        <v>315</v>
      </c>
      <c r="M66">
        <v>2</v>
      </c>
      <c r="N66" t="s">
        <v>559</v>
      </c>
      <c r="O66" t="s">
        <v>314</v>
      </c>
      <c r="P66">
        <v>2</v>
      </c>
      <c r="R66" t="s">
        <v>638</v>
      </c>
      <c r="S66">
        <v>2</v>
      </c>
    </row>
    <row r="67" spans="1:20" x14ac:dyDescent="0.25">
      <c r="A67" t="s">
        <v>316</v>
      </c>
      <c r="B67" t="s">
        <v>317</v>
      </c>
      <c r="C67" t="s">
        <v>318</v>
      </c>
      <c r="D67">
        <v>0</v>
      </c>
      <c r="F67" t="s">
        <v>319</v>
      </c>
      <c r="G67">
        <v>0</v>
      </c>
      <c r="I67" t="s">
        <v>317</v>
      </c>
      <c r="J67">
        <v>2</v>
      </c>
      <c r="L67" t="s">
        <v>320</v>
      </c>
      <c r="M67">
        <v>0</v>
      </c>
      <c r="O67" t="s">
        <v>317</v>
      </c>
      <c r="P67">
        <v>2</v>
      </c>
      <c r="R67" t="s">
        <v>317</v>
      </c>
      <c r="S67">
        <f t="shared" ref="S67:S101" si="2">IF(OR(IF(R67=O67,P67,FALSE),IF(R67=B67,TRUE,FALSE)),2,"")</f>
        <v>2</v>
      </c>
    </row>
    <row r="68" spans="1:20" x14ac:dyDescent="0.25">
      <c r="A68" t="s">
        <v>321</v>
      </c>
      <c r="B68" t="s">
        <v>322</v>
      </c>
      <c r="C68" t="s">
        <v>323</v>
      </c>
      <c r="D68">
        <v>2</v>
      </c>
      <c r="F68" t="s">
        <v>11</v>
      </c>
      <c r="G68">
        <v>2</v>
      </c>
      <c r="I68" t="s">
        <v>11</v>
      </c>
      <c r="J68">
        <f t="shared" si="1"/>
        <v>2</v>
      </c>
      <c r="L68" t="s">
        <v>323</v>
      </c>
      <c r="M68">
        <v>2</v>
      </c>
      <c r="O68" t="s">
        <v>11</v>
      </c>
      <c r="P68">
        <v>2</v>
      </c>
      <c r="R68" t="s">
        <v>11</v>
      </c>
      <c r="S68">
        <f t="shared" si="2"/>
        <v>2</v>
      </c>
    </row>
    <row r="69" spans="1:20" x14ac:dyDescent="0.25">
      <c r="A69" t="s">
        <v>324</v>
      </c>
      <c r="B69" t="s">
        <v>325</v>
      </c>
      <c r="C69" t="s">
        <v>326</v>
      </c>
      <c r="D69">
        <v>0</v>
      </c>
      <c r="F69" t="s">
        <v>327</v>
      </c>
      <c r="G69">
        <v>1</v>
      </c>
      <c r="I69" t="s">
        <v>599</v>
      </c>
      <c r="J69">
        <v>2</v>
      </c>
      <c r="K69" t="s">
        <v>667</v>
      </c>
      <c r="L69" t="s">
        <v>328</v>
      </c>
      <c r="M69">
        <v>0</v>
      </c>
      <c r="O69" t="s">
        <v>329</v>
      </c>
      <c r="P69">
        <v>2</v>
      </c>
      <c r="R69" t="s">
        <v>639</v>
      </c>
      <c r="S69">
        <v>2</v>
      </c>
    </row>
    <row r="70" spans="1:20" x14ac:dyDescent="0.25">
      <c r="A70" t="s">
        <v>330</v>
      </c>
      <c r="B70" t="s">
        <v>331</v>
      </c>
      <c r="C70" t="s">
        <v>332</v>
      </c>
      <c r="D70">
        <v>0</v>
      </c>
      <c r="E70" t="s">
        <v>560</v>
      </c>
      <c r="F70" t="s">
        <v>333</v>
      </c>
      <c r="G70">
        <v>0</v>
      </c>
      <c r="I70" t="s">
        <v>600</v>
      </c>
      <c r="J70">
        <v>1</v>
      </c>
      <c r="K70" t="s">
        <v>668</v>
      </c>
      <c r="L70" t="s">
        <v>334</v>
      </c>
      <c r="M70">
        <v>0</v>
      </c>
      <c r="O70" t="s">
        <v>335</v>
      </c>
      <c r="P70">
        <v>1</v>
      </c>
      <c r="R70" t="s">
        <v>331</v>
      </c>
      <c r="S70">
        <f t="shared" si="2"/>
        <v>2</v>
      </c>
    </row>
    <row r="71" spans="1:20" x14ac:dyDescent="0.25">
      <c r="A71" t="s">
        <v>336</v>
      </c>
      <c r="B71" t="s">
        <v>337</v>
      </c>
      <c r="C71" t="s">
        <v>338</v>
      </c>
      <c r="D71">
        <v>0</v>
      </c>
      <c r="F71" t="s">
        <v>337</v>
      </c>
      <c r="G71">
        <v>2</v>
      </c>
      <c r="I71" t="s">
        <v>337</v>
      </c>
      <c r="J71">
        <f t="shared" ref="J70:J101" si="3">IF(OR(IF(I71=F71,TRUE,FALSE),IF(I71=B71,TRUE,FALSE)),2,"")</f>
        <v>2</v>
      </c>
      <c r="L71" t="s">
        <v>339</v>
      </c>
      <c r="M71">
        <v>2</v>
      </c>
      <c r="O71" t="s">
        <v>337</v>
      </c>
      <c r="P71">
        <v>2</v>
      </c>
      <c r="R71" t="s">
        <v>337</v>
      </c>
      <c r="S71">
        <f t="shared" si="2"/>
        <v>2</v>
      </c>
    </row>
    <row r="72" spans="1:20" x14ac:dyDescent="0.25">
      <c r="A72" t="s">
        <v>340</v>
      </c>
      <c r="B72" t="s">
        <v>341</v>
      </c>
      <c r="C72" t="s">
        <v>342</v>
      </c>
      <c r="D72">
        <v>1</v>
      </c>
      <c r="E72" t="s">
        <v>561</v>
      </c>
      <c r="F72" t="s">
        <v>343</v>
      </c>
      <c r="G72">
        <v>2</v>
      </c>
      <c r="I72" t="s">
        <v>344</v>
      </c>
      <c r="J72">
        <v>2</v>
      </c>
      <c r="K72" t="s">
        <v>669</v>
      </c>
      <c r="L72" t="s">
        <v>342</v>
      </c>
      <c r="M72">
        <v>1</v>
      </c>
      <c r="O72" t="s">
        <v>344</v>
      </c>
      <c r="P72">
        <v>2</v>
      </c>
      <c r="R72" t="s">
        <v>640</v>
      </c>
      <c r="S72">
        <v>2</v>
      </c>
    </row>
    <row r="73" spans="1:20" x14ac:dyDescent="0.25">
      <c r="A73" t="s">
        <v>345</v>
      </c>
      <c r="B73" t="s">
        <v>346</v>
      </c>
      <c r="C73" t="s">
        <v>347</v>
      </c>
      <c r="D73">
        <v>1</v>
      </c>
      <c r="E73" t="s">
        <v>562</v>
      </c>
      <c r="F73" t="s">
        <v>348</v>
      </c>
      <c r="G73">
        <v>1</v>
      </c>
      <c r="I73" t="s">
        <v>601</v>
      </c>
      <c r="J73">
        <v>0</v>
      </c>
      <c r="K73" t="s">
        <v>670</v>
      </c>
      <c r="L73" t="s">
        <v>347</v>
      </c>
      <c r="M73">
        <v>1</v>
      </c>
      <c r="O73" t="s">
        <v>349</v>
      </c>
      <c r="P73">
        <v>2</v>
      </c>
      <c r="R73" t="s">
        <v>641</v>
      </c>
      <c r="S73">
        <v>2</v>
      </c>
      <c r="T73" t="s">
        <v>697</v>
      </c>
    </row>
    <row r="74" spans="1:20" x14ac:dyDescent="0.25">
      <c r="A74" t="s">
        <v>350</v>
      </c>
      <c r="B74" t="s">
        <v>351</v>
      </c>
      <c r="C74" t="s">
        <v>352</v>
      </c>
      <c r="D74">
        <v>0</v>
      </c>
      <c r="F74" t="s">
        <v>353</v>
      </c>
      <c r="G74">
        <v>0</v>
      </c>
      <c r="I74" t="s">
        <v>353</v>
      </c>
      <c r="J74">
        <f t="shared" si="3"/>
        <v>2</v>
      </c>
      <c r="L74" t="s">
        <v>354</v>
      </c>
      <c r="M74">
        <v>0</v>
      </c>
      <c r="O74" t="s">
        <v>353</v>
      </c>
      <c r="P74">
        <v>0</v>
      </c>
      <c r="R74" t="s">
        <v>353</v>
      </c>
      <c r="S74">
        <v>0</v>
      </c>
    </row>
    <row r="75" spans="1:20" x14ac:dyDescent="0.25">
      <c r="A75" t="s">
        <v>355</v>
      </c>
      <c r="B75" t="s">
        <v>356</v>
      </c>
      <c r="C75" t="s">
        <v>357</v>
      </c>
      <c r="D75">
        <v>0</v>
      </c>
      <c r="F75" t="s">
        <v>358</v>
      </c>
      <c r="G75">
        <v>0</v>
      </c>
      <c r="I75" t="s">
        <v>602</v>
      </c>
      <c r="J75">
        <v>2</v>
      </c>
      <c r="K75" t="s">
        <v>671</v>
      </c>
      <c r="L75" t="s">
        <v>359</v>
      </c>
      <c r="M75">
        <v>1</v>
      </c>
      <c r="O75" t="s">
        <v>360</v>
      </c>
      <c r="P75">
        <v>1</v>
      </c>
      <c r="R75" t="s">
        <v>356</v>
      </c>
      <c r="S75">
        <f t="shared" si="2"/>
        <v>2</v>
      </c>
    </row>
    <row r="76" spans="1:20" x14ac:dyDescent="0.25">
      <c r="A76" t="s">
        <v>361</v>
      </c>
      <c r="B76" t="s">
        <v>362</v>
      </c>
      <c r="C76" t="s">
        <v>363</v>
      </c>
      <c r="D76">
        <v>0</v>
      </c>
      <c r="F76" t="s">
        <v>364</v>
      </c>
      <c r="G76">
        <v>1</v>
      </c>
      <c r="I76" t="s">
        <v>365</v>
      </c>
      <c r="J76">
        <v>2</v>
      </c>
      <c r="L76" t="s">
        <v>363</v>
      </c>
      <c r="M76">
        <v>0</v>
      </c>
      <c r="O76" t="s">
        <v>365</v>
      </c>
      <c r="P76">
        <v>2</v>
      </c>
      <c r="R76" t="s">
        <v>365</v>
      </c>
      <c r="S76">
        <f t="shared" si="2"/>
        <v>2</v>
      </c>
    </row>
    <row r="77" spans="1:20" x14ac:dyDescent="0.25">
      <c r="A77" t="s">
        <v>366</v>
      </c>
      <c r="B77" t="s">
        <v>367</v>
      </c>
      <c r="C77" t="s">
        <v>193</v>
      </c>
      <c r="D77">
        <v>2</v>
      </c>
      <c r="F77" t="s">
        <v>368</v>
      </c>
      <c r="G77">
        <v>2</v>
      </c>
      <c r="I77" t="s">
        <v>368</v>
      </c>
      <c r="J77">
        <f t="shared" si="3"/>
        <v>2</v>
      </c>
      <c r="L77" t="s">
        <v>193</v>
      </c>
      <c r="M77">
        <v>2</v>
      </c>
      <c r="O77" t="s">
        <v>368</v>
      </c>
      <c r="P77">
        <v>2</v>
      </c>
      <c r="R77" t="s">
        <v>367</v>
      </c>
      <c r="S77">
        <f t="shared" si="2"/>
        <v>2</v>
      </c>
    </row>
    <row r="78" spans="1:20" x14ac:dyDescent="0.25">
      <c r="A78" t="s">
        <v>369</v>
      </c>
      <c r="B78" t="s">
        <v>370</v>
      </c>
      <c r="C78" t="s">
        <v>370</v>
      </c>
      <c r="D78">
        <v>2</v>
      </c>
      <c r="F78" t="s">
        <v>370</v>
      </c>
      <c r="G78">
        <v>2</v>
      </c>
      <c r="I78" t="s">
        <v>370</v>
      </c>
      <c r="J78">
        <f t="shared" si="3"/>
        <v>2</v>
      </c>
      <c r="L78" t="s">
        <v>371</v>
      </c>
      <c r="M78">
        <v>0</v>
      </c>
      <c r="O78" t="s">
        <v>370</v>
      </c>
      <c r="P78">
        <v>2</v>
      </c>
      <c r="R78" t="s">
        <v>370</v>
      </c>
      <c r="S78">
        <f t="shared" si="2"/>
        <v>2</v>
      </c>
    </row>
    <row r="79" spans="1:20" x14ac:dyDescent="0.25">
      <c r="A79" t="s">
        <v>372</v>
      </c>
      <c r="B79" t="s">
        <v>373</v>
      </c>
      <c r="C79" t="s">
        <v>374</v>
      </c>
      <c r="D79">
        <v>2</v>
      </c>
      <c r="E79" t="s">
        <v>563</v>
      </c>
      <c r="F79" t="s">
        <v>375</v>
      </c>
      <c r="G79">
        <v>2</v>
      </c>
      <c r="I79" t="s">
        <v>603</v>
      </c>
      <c r="J79">
        <v>0</v>
      </c>
      <c r="L79" t="s">
        <v>376</v>
      </c>
      <c r="M79">
        <v>2</v>
      </c>
      <c r="O79" t="s">
        <v>377</v>
      </c>
      <c r="P79">
        <v>2</v>
      </c>
      <c r="Q79" t="s">
        <v>564</v>
      </c>
      <c r="R79" t="s">
        <v>603</v>
      </c>
      <c r="S79">
        <v>0</v>
      </c>
    </row>
    <row r="80" spans="1:20" x14ac:dyDescent="0.25">
      <c r="A80" t="s">
        <v>378</v>
      </c>
      <c r="B80" t="s">
        <v>379</v>
      </c>
      <c r="C80" t="s">
        <v>380</v>
      </c>
      <c r="D80">
        <v>2</v>
      </c>
      <c r="F80" t="s">
        <v>381</v>
      </c>
      <c r="G80">
        <v>2</v>
      </c>
      <c r="I80" t="s">
        <v>604</v>
      </c>
      <c r="J80">
        <v>0</v>
      </c>
      <c r="K80" t="s">
        <v>672</v>
      </c>
      <c r="L80" t="s">
        <v>380</v>
      </c>
      <c r="M80">
        <v>2</v>
      </c>
      <c r="O80" t="s">
        <v>382</v>
      </c>
      <c r="P80">
        <v>0</v>
      </c>
      <c r="R80" t="s">
        <v>381</v>
      </c>
      <c r="S80">
        <v>2</v>
      </c>
    </row>
    <row r="81" spans="1:20" x14ac:dyDescent="0.25">
      <c r="A81" t="s">
        <v>383</v>
      </c>
      <c r="B81" t="s">
        <v>384</v>
      </c>
      <c r="C81" t="s">
        <v>385</v>
      </c>
      <c r="D81">
        <v>0</v>
      </c>
      <c r="F81" t="s">
        <v>386</v>
      </c>
      <c r="G81">
        <v>2</v>
      </c>
      <c r="I81" t="s">
        <v>386</v>
      </c>
      <c r="J81" t="b">
        <f>S2=IF(OR(IF(I81=F81,TRUE,FALSE),IF(I81=B81,TRUE,FALSE)),2,"")</f>
        <v>1</v>
      </c>
      <c r="L81" t="s">
        <v>387</v>
      </c>
      <c r="M81">
        <v>2</v>
      </c>
      <c r="O81" t="s">
        <v>386</v>
      </c>
      <c r="P81">
        <v>2</v>
      </c>
      <c r="R81" t="s">
        <v>386</v>
      </c>
      <c r="S81">
        <f t="shared" si="2"/>
        <v>2</v>
      </c>
    </row>
    <row r="82" spans="1:20" x14ac:dyDescent="0.25">
      <c r="A82" t="s">
        <v>388</v>
      </c>
      <c r="B82" t="s">
        <v>389</v>
      </c>
      <c r="C82" t="s">
        <v>390</v>
      </c>
      <c r="D82">
        <v>0</v>
      </c>
      <c r="F82" t="s">
        <v>391</v>
      </c>
      <c r="G82">
        <v>0</v>
      </c>
      <c r="I82" t="s">
        <v>389</v>
      </c>
      <c r="J82">
        <f t="shared" si="3"/>
        <v>2</v>
      </c>
      <c r="L82" t="s">
        <v>392</v>
      </c>
      <c r="M82">
        <v>0</v>
      </c>
      <c r="O82" t="s">
        <v>393</v>
      </c>
      <c r="P82">
        <v>2</v>
      </c>
      <c r="Q82" t="s">
        <v>565</v>
      </c>
      <c r="R82" t="s">
        <v>642</v>
      </c>
      <c r="S82">
        <v>2</v>
      </c>
      <c r="T82" t="s">
        <v>698</v>
      </c>
    </row>
    <row r="83" spans="1:20" x14ac:dyDescent="0.25">
      <c r="A83" t="s">
        <v>394</v>
      </c>
      <c r="B83" t="s">
        <v>395</v>
      </c>
      <c r="C83" t="s">
        <v>396</v>
      </c>
      <c r="D83">
        <v>0</v>
      </c>
      <c r="F83" t="s">
        <v>397</v>
      </c>
      <c r="G83">
        <v>2</v>
      </c>
      <c r="H83" t="s">
        <v>566</v>
      </c>
      <c r="I83" t="s">
        <v>397</v>
      </c>
      <c r="J83">
        <f t="shared" si="3"/>
        <v>2</v>
      </c>
      <c r="L83" t="s">
        <v>398</v>
      </c>
      <c r="M83">
        <v>0</v>
      </c>
      <c r="O83" t="s">
        <v>399</v>
      </c>
      <c r="P83">
        <v>2</v>
      </c>
      <c r="R83" t="s">
        <v>397</v>
      </c>
      <c r="S83">
        <v>2</v>
      </c>
    </row>
    <row r="84" spans="1:20" x14ac:dyDescent="0.25">
      <c r="A84" t="s">
        <v>400</v>
      </c>
      <c r="B84" t="s">
        <v>401</v>
      </c>
      <c r="C84" t="s">
        <v>402</v>
      </c>
      <c r="D84">
        <v>2</v>
      </c>
      <c r="F84" t="s">
        <v>402</v>
      </c>
      <c r="G84">
        <v>2</v>
      </c>
      <c r="I84" t="s">
        <v>402</v>
      </c>
      <c r="J84">
        <f t="shared" si="3"/>
        <v>2</v>
      </c>
      <c r="L84" t="s">
        <v>402</v>
      </c>
      <c r="M84">
        <v>2</v>
      </c>
      <c r="O84" t="s">
        <v>402</v>
      </c>
      <c r="P84">
        <v>2</v>
      </c>
      <c r="R84" t="s">
        <v>402</v>
      </c>
      <c r="S84">
        <f t="shared" si="2"/>
        <v>2</v>
      </c>
    </row>
    <row r="85" spans="1:20" x14ac:dyDescent="0.25">
      <c r="A85" t="s">
        <v>403</v>
      </c>
      <c r="B85" t="s">
        <v>404</v>
      </c>
      <c r="C85" t="s">
        <v>405</v>
      </c>
      <c r="D85">
        <v>2</v>
      </c>
      <c r="F85" t="s">
        <v>11</v>
      </c>
      <c r="G85">
        <v>2</v>
      </c>
      <c r="I85" t="s">
        <v>11</v>
      </c>
      <c r="J85">
        <f t="shared" si="3"/>
        <v>2</v>
      </c>
      <c r="L85" t="s">
        <v>323</v>
      </c>
      <c r="M85">
        <v>1</v>
      </c>
      <c r="O85" t="s">
        <v>11</v>
      </c>
      <c r="P85">
        <v>2</v>
      </c>
      <c r="R85" t="s">
        <v>643</v>
      </c>
      <c r="S85">
        <v>2</v>
      </c>
    </row>
    <row r="86" spans="1:20" x14ac:dyDescent="0.25">
      <c r="A86" s="2" t="s">
        <v>406</v>
      </c>
      <c r="B86" t="s">
        <v>407</v>
      </c>
      <c r="C86" t="s">
        <v>408</v>
      </c>
      <c r="D86">
        <v>0</v>
      </c>
      <c r="F86" t="s">
        <v>409</v>
      </c>
      <c r="G86">
        <v>0</v>
      </c>
      <c r="I86" t="s">
        <v>605</v>
      </c>
      <c r="J86">
        <v>1</v>
      </c>
      <c r="K86" t="s">
        <v>673</v>
      </c>
      <c r="L86" t="s">
        <v>410</v>
      </c>
      <c r="M86">
        <v>0</v>
      </c>
      <c r="O86" t="s">
        <v>409</v>
      </c>
      <c r="P86">
        <v>0</v>
      </c>
      <c r="R86" t="s">
        <v>407</v>
      </c>
      <c r="S86">
        <f t="shared" si="2"/>
        <v>2</v>
      </c>
    </row>
    <row r="87" spans="1:20" x14ac:dyDescent="0.25">
      <c r="A87" t="s">
        <v>411</v>
      </c>
      <c r="B87" t="s">
        <v>412</v>
      </c>
      <c r="C87" t="s">
        <v>413</v>
      </c>
      <c r="D87">
        <v>2</v>
      </c>
      <c r="E87" t="s">
        <v>567</v>
      </c>
      <c r="F87" t="s">
        <v>413</v>
      </c>
      <c r="G87">
        <v>2</v>
      </c>
      <c r="I87" t="s">
        <v>606</v>
      </c>
      <c r="J87">
        <v>0</v>
      </c>
      <c r="L87" t="s">
        <v>413</v>
      </c>
      <c r="M87">
        <v>2</v>
      </c>
      <c r="O87" t="s">
        <v>413</v>
      </c>
      <c r="P87">
        <v>2</v>
      </c>
      <c r="R87" t="s">
        <v>413</v>
      </c>
      <c r="S87">
        <f t="shared" si="2"/>
        <v>2</v>
      </c>
    </row>
    <row r="88" spans="1:20" x14ac:dyDescent="0.25">
      <c r="A88" t="s">
        <v>414</v>
      </c>
      <c r="B88" t="s">
        <v>415</v>
      </c>
      <c r="C88" t="s">
        <v>416</v>
      </c>
      <c r="D88">
        <v>1</v>
      </c>
      <c r="F88" t="s">
        <v>417</v>
      </c>
      <c r="G88">
        <v>2</v>
      </c>
      <c r="H88" t="s">
        <v>568</v>
      </c>
      <c r="I88" t="s">
        <v>415</v>
      </c>
      <c r="J88">
        <f t="shared" si="3"/>
        <v>2</v>
      </c>
      <c r="L88" t="s">
        <v>416</v>
      </c>
      <c r="M88">
        <v>1</v>
      </c>
      <c r="O88" t="s">
        <v>418</v>
      </c>
      <c r="P88">
        <v>0</v>
      </c>
      <c r="R88" t="s">
        <v>644</v>
      </c>
      <c r="S88">
        <v>2</v>
      </c>
      <c r="T88" t="s">
        <v>699</v>
      </c>
    </row>
    <row r="89" spans="1:20" x14ac:dyDescent="0.25">
      <c r="A89" t="s">
        <v>419</v>
      </c>
      <c r="B89" t="s">
        <v>420</v>
      </c>
      <c r="C89" t="s">
        <v>421</v>
      </c>
      <c r="D89">
        <v>0</v>
      </c>
      <c r="F89" t="s">
        <v>422</v>
      </c>
      <c r="G89">
        <v>2</v>
      </c>
      <c r="I89" t="s">
        <v>422</v>
      </c>
      <c r="J89">
        <f t="shared" si="3"/>
        <v>2</v>
      </c>
      <c r="L89" t="s">
        <v>423</v>
      </c>
      <c r="M89">
        <v>0</v>
      </c>
      <c r="O89" t="s">
        <v>422</v>
      </c>
      <c r="P89">
        <v>2</v>
      </c>
      <c r="R89" t="s">
        <v>645</v>
      </c>
      <c r="S89">
        <v>0</v>
      </c>
    </row>
    <row r="90" spans="1:20" x14ac:dyDescent="0.25">
      <c r="A90" t="s">
        <v>424</v>
      </c>
      <c r="B90" t="s">
        <v>425</v>
      </c>
      <c r="C90" t="s">
        <v>425</v>
      </c>
      <c r="D90">
        <v>2</v>
      </c>
      <c r="F90" t="s">
        <v>425</v>
      </c>
      <c r="G90">
        <v>2</v>
      </c>
      <c r="I90" t="s">
        <v>425</v>
      </c>
      <c r="J90">
        <f t="shared" si="3"/>
        <v>2</v>
      </c>
      <c r="L90" t="s">
        <v>425</v>
      </c>
      <c r="M90">
        <v>2</v>
      </c>
      <c r="O90" t="s">
        <v>425</v>
      </c>
      <c r="P90">
        <v>2</v>
      </c>
      <c r="R90" t="s">
        <v>425</v>
      </c>
      <c r="S90">
        <f t="shared" si="2"/>
        <v>2</v>
      </c>
    </row>
    <row r="91" spans="1:20" x14ac:dyDescent="0.25">
      <c r="A91" t="s">
        <v>426</v>
      </c>
      <c r="B91" t="s">
        <v>427</v>
      </c>
      <c r="C91" t="s">
        <v>428</v>
      </c>
      <c r="D91">
        <v>0</v>
      </c>
      <c r="F91" t="s">
        <v>429</v>
      </c>
      <c r="G91">
        <v>0</v>
      </c>
      <c r="I91" t="s">
        <v>607</v>
      </c>
      <c r="J91">
        <v>2</v>
      </c>
      <c r="K91" t="s">
        <v>674</v>
      </c>
      <c r="L91" t="s">
        <v>430</v>
      </c>
      <c r="M91">
        <v>0</v>
      </c>
      <c r="O91" t="s">
        <v>431</v>
      </c>
      <c r="P91">
        <v>0</v>
      </c>
      <c r="R91" t="s">
        <v>427</v>
      </c>
      <c r="S91">
        <f t="shared" si="2"/>
        <v>2</v>
      </c>
    </row>
    <row r="92" spans="1:20" x14ac:dyDescent="0.25">
      <c r="A92" t="s">
        <v>432</v>
      </c>
      <c r="B92" t="s">
        <v>433</v>
      </c>
      <c r="C92" t="s">
        <v>434</v>
      </c>
      <c r="D92">
        <v>0</v>
      </c>
      <c r="F92" t="s">
        <v>435</v>
      </c>
      <c r="G92">
        <v>1</v>
      </c>
      <c r="I92" t="s">
        <v>608</v>
      </c>
      <c r="J92">
        <v>2</v>
      </c>
      <c r="K92" t="s">
        <v>675</v>
      </c>
      <c r="L92" t="s">
        <v>436</v>
      </c>
      <c r="M92">
        <v>0</v>
      </c>
      <c r="O92" t="s">
        <v>433</v>
      </c>
      <c r="P92">
        <v>2</v>
      </c>
      <c r="R92" t="s">
        <v>433</v>
      </c>
      <c r="S92">
        <f t="shared" si="2"/>
        <v>2</v>
      </c>
    </row>
    <row r="93" spans="1:20" x14ac:dyDescent="0.25">
      <c r="A93" t="s">
        <v>437</v>
      </c>
      <c r="B93" t="s">
        <v>438</v>
      </c>
      <c r="C93" t="s">
        <v>439</v>
      </c>
      <c r="D93">
        <v>0</v>
      </c>
      <c r="F93" t="s">
        <v>440</v>
      </c>
      <c r="G93">
        <v>2</v>
      </c>
      <c r="I93" t="s">
        <v>441</v>
      </c>
      <c r="J93">
        <v>2</v>
      </c>
      <c r="L93" t="s">
        <v>440</v>
      </c>
      <c r="M93">
        <v>2</v>
      </c>
      <c r="O93" t="s">
        <v>441</v>
      </c>
      <c r="P93">
        <v>2</v>
      </c>
      <c r="R93" t="s">
        <v>441</v>
      </c>
      <c r="S93">
        <f t="shared" si="2"/>
        <v>2</v>
      </c>
    </row>
    <row r="94" spans="1:20" x14ac:dyDescent="0.25">
      <c r="A94" t="s">
        <v>442</v>
      </c>
      <c r="B94" t="s">
        <v>443</v>
      </c>
      <c r="C94" t="s">
        <v>444</v>
      </c>
      <c r="D94">
        <v>2</v>
      </c>
      <c r="F94" t="s">
        <v>444</v>
      </c>
      <c r="G94">
        <v>2</v>
      </c>
      <c r="I94" t="s">
        <v>444</v>
      </c>
      <c r="J94">
        <f t="shared" si="3"/>
        <v>2</v>
      </c>
      <c r="L94" t="s">
        <v>444</v>
      </c>
      <c r="M94">
        <v>2</v>
      </c>
      <c r="O94" t="s">
        <v>444</v>
      </c>
      <c r="P94">
        <v>2</v>
      </c>
      <c r="R94" t="s">
        <v>444</v>
      </c>
      <c r="S94">
        <f t="shared" si="2"/>
        <v>2</v>
      </c>
    </row>
    <row r="95" spans="1:20" x14ac:dyDescent="0.25">
      <c r="A95" t="s">
        <v>445</v>
      </c>
      <c r="B95" t="s">
        <v>446</v>
      </c>
      <c r="C95" t="s">
        <v>447</v>
      </c>
      <c r="D95">
        <v>0</v>
      </c>
      <c r="F95" t="s">
        <v>448</v>
      </c>
      <c r="G95">
        <v>0</v>
      </c>
      <c r="I95" t="s">
        <v>609</v>
      </c>
      <c r="J95">
        <v>0</v>
      </c>
      <c r="L95" t="s">
        <v>447</v>
      </c>
      <c r="M95">
        <v>0</v>
      </c>
      <c r="O95" t="s">
        <v>449</v>
      </c>
      <c r="P95">
        <v>0</v>
      </c>
      <c r="R95" t="s">
        <v>449</v>
      </c>
      <c r="S95">
        <v>2</v>
      </c>
      <c r="T95" t="s">
        <v>700</v>
      </c>
    </row>
    <row r="96" spans="1:20" x14ac:dyDescent="0.25">
      <c r="A96" t="s">
        <v>450</v>
      </c>
      <c r="B96" t="s">
        <v>451</v>
      </c>
      <c r="C96" t="s">
        <v>452</v>
      </c>
      <c r="D96">
        <v>0</v>
      </c>
      <c r="F96" t="s">
        <v>453</v>
      </c>
      <c r="G96">
        <v>2</v>
      </c>
      <c r="I96" t="s">
        <v>455</v>
      </c>
      <c r="J96">
        <v>2</v>
      </c>
      <c r="K96" t="s">
        <v>676</v>
      </c>
      <c r="L96" t="s">
        <v>454</v>
      </c>
      <c r="M96">
        <v>0</v>
      </c>
      <c r="O96" t="s">
        <v>455</v>
      </c>
      <c r="P96">
        <v>2</v>
      </c>
      <c r="R96" t="s">
        <v>646</v>
      </c>
      <c r="S96">
        <v>2</v>
      </c>
      <c r="T96" t="s">
        <v>701</v>
      </c>
    </row>
    <row r="97" spans="1:20" x14ac:dyDescent="0.25">
      <c r="A97" t="s">
        <v>456</v>
      </c>
      <c r="B97" t="s">
        <v>457</v>
      </c>
      <c r="C97" s="2" t="s">
        <v>458</v>
      </c>
      <c r="D97">
        <v>0</v>
      </c>
      <c r="F97" t="s">
        <v>459</v>
      </c>
      <c r="G97">
        <v>0</v>
      </c>
      <c r="I97" t="s">
        <v>610</v>
      </c>
      <c r="J97">
        <v>1</v>
      </c>
      <c r="K97" t="s">
        <v>677</v>
      </c>
      <c r="L97" t="s">
        <v>460</v>
      </c>
      <c r="M97">
        <v>0</v>
      </c>
      <c r="O97" t="s">
        <v>461</v>
      </c>
      <c r="P97">
        <v>0</v>
      </c>
      <c r="R97" t="s">
        <v>610</v>
      </c>
      <c r="S97">
        <v>1</v>
      </c>
      <c r="T97" t="s">
        <v>677</v>
      </c>
    </row>
    <row r="98" spans="1:20" x14ac:dyDescent="0.25">
      <c r="A98" t="s">
        <v>462</v>
      </c>
      <c r="B98" t="s">
        <v>463</v>
      </c>
      <c r="C98" t="s">
        <v>464</v>
      </c>
      <c r="D98">
        <v>1</v>
      </c>
      <c r="F98" t="s">
        <v>465</v>
      </c>
      <c r="G98">
        <v>1</v>
      </c>
      <c r="I98" t="s">
        <v>611</v>
      </c>
      <c r="J98">
        <v>1</v>
      </c>
      <c r="K98" t="s">
        <v>678</v>
      </c>
      <c r="L98" t="s">
        <v>466</v>
      </c>
      <c r="M98">
        <v>0</v>
      </c>
      <c r="O98" t="s">
        <v>465</v>
      </c>
      <c r="P98">
        <v>1</v>
      </c>
      <c r="R98" t="s">
        <v>647</v>
      </c>
      <c r="S98">
        <v>2</v>
      </c>
      <c r="T98" t="s">
        <v>702</v>
      </c>
    </row>
    <row r="99" spans="1:20" x14ac:dyDescent="0.25">
      <c r="A99" t="s">
        <v>467</v>
      </c>
      <c r="B99" t="s">
        <v>468</v>
      </c>
      <c r="C99" t="s">
        <v>469</v>
      </c>
      <c r="D99">
        <v>0</v>
      </c>
      <c r="F99" t="s">
        <v>470</v>
      </c>
      <c r="G99">
        <v>2</v>
      </c>
      <c r="I99" t="s">
        <v>471</v>
      </c>
      <c r="J99">
        <v>2</v>
      </c>
      <c r="L99" t="s">
        <v>469</v>
      </c>
      <c r="M99">
        <v>0</v>
      </c>
      <c r="O99" t="s">
        <v>471</v>
      </c>
      <c r="P99">
        <v>2</v>
      </c>
      <c r="R99" t="s">
        <v>471</v>
      </c>
      <c r="S99">
        <f t="shared" si="2"/>
        <v>2</v>
      </c>
    </row>
    <row r="100" spans="1:20" x14ac:dyDescent="0.25">
      <c r="A100" t="s">
        <v>472</v>
      </c>
      <c r="B100" t="s">
        <v>473</v>
      </c>
      <c r="C100" t="s">
        <v>474</v>
      </c>
      <c r="D100">
        <v>2</v>
      </c>
      <c r="F100" t="s">
        <v>475</v>
      </c>
      <c r="G100">
        <v>2</v>
      </c>
      <c r="I100" t="s">
        <v>476</v>
      </c>
      <c r="J100">
        <v>2</v>
      </c>
      <c r="L100" t="s">
        <v>474</v>
      </c>
      <c r="M100">
        <v>2</v>
      </c>
      <c r="O100" t="s">
        <v>476</v>
      </c>
      <c r="P100">
        <v>2</v>
      </c>
      <c r="R100" t="s">
        <v>476</v>
      </c>
      <c r="S100">
        <f t="shared" si="2"/>
        <v>2</v>
      </c>
    </row>
    <row r="101" spans="1:20" x14ac:dyDescent="0.25">
      <c r="A101" t="s">
        <v>477</v>
      </c>
      <c r="B101" t="s">
        <v>478</v>
      </c>
      <c r="C101" t="s">
        <v>479</v>
      </c>
      <c r="D101">
        <v>2</v>
      </c>
      <c r="F101" t="s">
        <v>480</v>
      </c>
      <c r="G101">
        <v>1</v>
      </c>
      <c r="I101" t="s">
        <v>480</v>
      </c>
      <c r="J101">
        <f t="shared" si="3"/>
        <v>2</v>
      </c>
      <c r="L101" t="s">
        <v>479</v>
      </c>
      <c r="M101">
        <v>2</v>
      </c>
      <c r="O101" t="s">
        <v>480</v>
      </c>
      <c r="P101">
        <v>1</v>
      </c>
      <c r="R101" t="s">
        <v>478</v>
      </c>
      <c r="S101">
        <f t="shared" si="2"/>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Paweł Arent</cp:lastModifiedBy>
  <dcterms:created xsi:type="dcterms:W3CDTF">2025-11-30T16:38:40Z</dcterms:created>
  <dcterms:modified xsi:type="dcterms:W3CDTF">2025-12-10T13:39:47Z</dcterms:modified>
</cp:coreProperties>
</file>